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名簿" sheetId="1" r:id="rId5"/>
    <sheet state="visible" name="記録表記載方法" sheetId="2" r:id="rId6"/>
    <sheet state="visible" name="領収証" sheetId="3" r:id="rId7"/>
    <sheet state="visible" name="スケジュール表" sheetId="4" r:id="rId8"/>
    <sheet state="visible" name="テンプレート" sheetId="5" r:id="rId9"/>
    <sheet state="visible" name="一戸竜太郎" sheetId="6" r:id="rId10"/>
  </sheets>
  <definedNames/>
  <calcPr/>
</workbook>
</file>

<file path=xl/sharedStrings.xml><?xml version="1.0" encoding="utf-8"?>
<sst xmlns="http://schemas.openxmlformats.org/spreadsheetml/2006/main" count="575" uniqueCount="99">
  <si>
    <t>児童名簿</t>
  </si>
  <si>
    <t>姓</t>
  </si>
  <si>
    <t>名</t>
  </si>
  <si>
    <t>セイ</t>
  </si>
  <si>
    <t>メイ</t>
  </si>
  <si>
    <t>性別</t>
  </si>
  <si>
    <t>受給者番号</t>
  </si>
  <si>
    <t>障がい児支援区分</t>
  </si>
  <si>
    <t>一戸</t>
  </si>
  <si>
    <t>竜太郎</t>
  </si>
  <si>
    <t>イチノヘ</t>
  </si>
  <si>
    <t>リュウタロウ</t>
  </si>
  <si>
    <t>男</t>
  </si>
  <si>
    <t>【ルール】</t>
  </si>
  <si>
    <t>施設到着～施設出発までの時間を記載</t>
  </si>
  <si>
    <t>外出プログラムは開始地点～終了地点を決め、時間を記載</t>
  </si>
  <si>
    <t>30分は1時間分で算定、当日中は合算時間。30分利用後中抜けして30分利用した場合は算定時間1時間となる</t>
  </si>
  <si>
    <t>毎月10日に障がい福祉課に提出（10日が土日祝の場合は前日）</t>
  </si>
  <si>
    <t>日中一時支援利用者証の利用者負担額（0円or18,600円）と障がい児区分(1～3）障がい者区分(1～6）を確認</t>
  </si>
  <si>
    <t>＊障がい者の定義　18歳の誕生日月より</t>
  </si>
  <si>
    <t>利用者負担額が上限を超える場合は、100％が市からの助成金となる。</t>
  </si>
  <si>
    <t>算定時間の例）</t>
  </si>
  <si>
    <t>利用時間</t>
  </si>
  <si>
    <t>算定時間</t>
  </si>
  <si>
    <t>30分</t>
  </si>
  <si>
    <t>→</t>
  </si>
  <si>
    <t>1時間</t>
  </si>
  <si>
    <t>1時間29分</t>
  </si>
  <si>
    <t>1時間30分</t>
  </si>
  <si>
    <t>2時間</t>
  </si>
  <si>
    <t>【印鑑をもらう方法】</t>
  </si>
  <si>
    <t>1ヵ月ごとにまとめて印鑑をもらう→当月最終利用日または、次月最初の利用日</t>
  </si>
  <si>
    <t>領収証</t>
  </si>
  <si>
    <t>一戸竜太郎</t>
  </si>
  <si>
    <t>様</t>
  </si>
  <si>
    <t>ＮＩＣＯ　Ｌｉｂｅｒｉ</t>
  </si>
  <si>
    <t>浦安市猫実3-1-16</t>
  </si>
  <si>
    <t>件名</t>
  </si>
  <si>
    <t>TEL　070-6977-0025</t>
  </si>
  <si>
    <t>支援区分</t>
  </si>
  <si>
    <t>FAX　047-706-3956</t>
  </si>
  <si>
    <t>合計金額</t>
  </si>
  <si>
    <t>(税込)</t>
  </si>
  <si>
    <t>*利用助成金として浦安市から代理受領いたします</t>
  </si>
  <si>
    <t>概要</t>
  </si>
  <si>
    <t>数量</t>
  </si>
  <si>
    <t>市請求額</t>
  </si>
  <si>
    <t>利用者負担</t>
  </si>
  <si>
    <t>送迎</t>
  </si>
  <si>
    <t>田中　晧瑛</t>
  </si>
  <si>
    <t>古賀丈太郎</t>
  </si>
  <si>
    <t>北林　央睦</t>
  </si>
  <si>
    <t>秋葉　詞音</t>
  </si>
  <si>
    <t>並川　聖永</t>
  </si>
  <si>
    <t>稲川　真彩</t>
  </si>
  <si>
    <t>清水　美来</t>
  </si>
  <si>
    <t>荒井　泉澄</t>
  </si>
  <si>
    <t>宍戸　結心</t>
  </si>
  <si>
    <t>藤原　陽</t>
  </si>
  <si>
    <t>矢田　敦士</t>
  </si>
  <si>
    <t>江端　恭輔</t>
  </si>
  <si>
    <t>小寺　陽太</t>
  </si>
  <si>
    <t>南　志茉</t>
  </si>
  <si>
    <t>高戸　翔真</t>
  </si>
  <si>
    <t>植草　友美</t>
  </si>
  <si>
    <t>佐藤　礼</t>
  </si>
  <si>
    <t>滝澤　叶隆</t>
  </si>
  <si>
    <t>君塚　秀清</t>
  </si>
  <si>
    <t>長部　航大</t>
  </si>
  <si>
    <t>小泉　湊真</t>
  </si>
  <si>
    <t>吉益悠理人</t>
  </si>
  <si>
    <t>令和8年1月</t>
  </si>
  <si>
    <t>9:00-17:00</t>
  </si>
  <si>
    <t>10:00-17:00</t>
  </si>
  <si>
    <t>15:30-17:40</t>
  </si>
  <si>
    <t>日中一時支援事業サービス実績記録票</t>
  </si>
  <si>
    <t>受給者証
番　号</t>
  </si>
  <si>
    <t>障がい児支援区分
及び障がい者支援区分</t>
  </si>
  <si>
    <t>事業所名</t>
  </si>
  <si>
    <t>NICO Liberi</t>
  </si>
  <si>
    <t>支給決定障害者等氏名</t>
  </si>
  <si>
    <t>日付</t>
  </si>
  <si>
    <t>曜日</t>
  </si>
  <si>
    <t>サービス提供実績</t>
  </si>
  <si>
    <t>算定
時間数</t>
  </si>
  <si>
    <t>給付額</t>
  </si>
  <si>
    <t>利用者
負担額</t>
  </si>
  <si>
    <t>利用者
確認印</t>
  </si>
  <si>
    <t>開始
時間</t>
  </si>
  <si>
    <t>終了
時間</t>
  </si>
  <si>
    <t>合計</t>
  </si>
  <si>
    <t>枚中</t>
  </si>
  <si>
    <t>枚</t>
  </si>
  <si>
    <t>算定時間数</t>
  </si>
  <si>
    <t>開始時間</t>
  </si>
  <si>
    <t>終了時間</t>
  </si>
  <si>
    <t>.</t>
  </si>
  <si>
    <t>障がい児支援区分3</t>
  </si>
  <si>
    <t>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</si>
</sst>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¥&quot;#,##0_);[Red]\(&quot;¥&quot;#,##0\)"/>
    <numFmt numFmtId="165" formatCode="[$¥-411]#,##0"/>
  </numFmts>
  <fonts count="31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z val="11.0"/>
      <color theme="1"/>
      <name val="MS PGothic"/>
    </font>
    <font>
      <b/>
      <sz val="14.0"/>
      <color theme="0"/>
      <name val="MS PGothic"/>
    </font>
    <font/>
    <font>
      <sz val="12.0"/>
      <color theme="1"/>
      <name val="MS PGothic"/>
    </font>
    <font>
      <sz val="11.0"/>
      <color theme="0"/>
      <name val="MS PGothic"/>
    </font>
    <font>
      <b/>
      <sz val="12.0"/>
      <color theme="0"/>
      <name val="MS PGothic"/>
    </font>
    <font>
      <b/>
      <sz val="18.0"/>
      <color theme="1"/>
      <name val="MS PGothic"/>
    </font>
    <font>
      <sz val="9.0"/>
      <color theme="1"/>
      <name val="MS PGothic"/>
    </font>
    <font>
      <sz val="8.0"/>
      <color theme="1"/>
      <name val="MS PGothic"/>
    </font>
    <font>
      <sz val="11.0"/>
      <color rgb="FFFFFFFF"/>
      <name val="MS PGothic"/>
    </font>
    <font>
      <sz val="11.0"/>
      <color theme="1"/>
      <name val="Calibri"/>
    </font>
    <font>
      <b/>
      <sz val="14.0"/>
      <color rgb="FFFFFFFF"/>
      <name val="MS PGothic"/>
    </font>
    <font>
      <b/>
      <sz val="12.0"/>
      <color rgb="FFFFFFFF"/>
      <name val="MS PGothic"/>
    </font>
    <font>
      <sz val="14.0"/>
      <color theme="1"/>
      <name val="Calibri"/>
      <scheme val="minor"/>
    </font>
    <font>
      <sz val="14.0"/>
      <color rgb="FFFF0000"/>
      <name val="Calibri"/>
      <scheme val="minor"/>
    </font>
    <font>
      <sz val="14.0"/>
      <color rgb="FF000000"/>
      <name val="Calibri"/>
      <scheme val="minor"/>
    </font>
    <font>
      <sz val="14.0"/>
      <color rgb="FF0000FF"/>
      <name val="Calibri"/>
      <scheme val="minor"/>
    </font>
    <font>
      <sz val="9.0"/>
      <color theme="1"/>
      <name val="Arial"/>
    </font>
    <font>
      <sz val="9.0"/>
      <color theme="1"/>
      <name val="Ms ui gothic"/>
    </font>
    <font>
      <sz val="11.0"/>
      <color theme="1"/>
      <name val="Ms ui gothic"/>
    </font>
    <font>
      <sz val="14.0"/>
      <color theme="1"/>
      <name val="Ms ui gothic"/>
    </font>
    <font>
      <sz val="11.0"/>
      <color theme="1"/>
      <name val="Arial"/>
    </font>
    <font>
      <sz val="8.0"/>
      <color theme="1"/>
      <name val="Arial"/>
    </font>
    <font>
      <sz val="9.0"/>
      <color theme="1"/>
      <name val="ＭＳ ゴシック"/>
    </font>
    <font>
      <sz val="10.0"/>
      <color theme="1"/>
      <name val="MS PGothic"/>
    </font>
    <font>
      <sz val="10.0"/>
      <color theme="1"/>
      <name val="Ms ui gothic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3F3F3F"/>
        <bgColor rgb="FF3F3F3F"/>
      </patternFill>
    </fill>
  </fills>
  <borders count="46">
    <border/>
    <border>
      <left/>
      <top/>
    </border>
    <border>
      <top/>
    </border>
    <border>
      <left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4" fillId="0" fontId="4" numFmtId="0" xfId="0" applyAlignment="1" applyBorder="1" applyFont="1">
      <alignment horizontal="right" vertical="center"/>
    </xf>
    <xf borderId="0" fillId="0" fontId="4" numFmtId="0" xfId="0" applyAlignment="1" applyFont="1">
      <alignment vertical="center"/>
    </xf>
    <xf borderId="5" fillId="3" fontId="8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center"/>
    </xf>
    <xf borderId="6" fillId="3" fontId="8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8" fillId="3" fontId="9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right" vertical="center"/>
    </xf>
    <xf borderId="10" fillId="0" fontId="11" numFmtId="0" xfId="0" applyAlignment="1" applyBorder="1" applyFont="1">
      <alignment horizontal="left"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3" fillId="3" fontId="8" numFmtId="0" xfId="0" applyAlignment="1" applyBorder="1" applyFont="1">
      <alignment horizontal="center" vertical="center"/>
    </xf>
    <xf borderId="14" fillId="0" fontId="6" numFmtId="0" xfId="0" applyAlignment="1" applyBorder="1" applyFont="1">
      <alignment vertical="center"/>
    </xf>
    <xf borderId="15" fillId="3" fontId="8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165" xfId="0" applyAlignment="1" applyBorder="1" applyFont="1" applyNumberFormat="1">
      <alignment horizontal="right" vertical="center"/>
    </xf>
    <xf borderId="4" fillId="0" fontId="4" numFmtId="164" xfId="0" applyAlignment="1" applyBorder="1" applyFont="1" applyNumberFormat="1">
      <alignment horizontal="right" vertical="center"/>
    </xf>
    <xf borderId="7" fillId="0" fontId="4" numFmtId="0" xfId="0" applyAlignment="1" applyBorder="1" applyFont="1">
      <alignment vertical="center"/>
    </xf>
    <xf borderId="7" fillId="0" fontId="4" numFmtId="165" xfId="0" applyAlignment="1" applyBorder="1" applyFont="1" applyNumberFormat="1">
      <alignment horizontal="right" vertical="center"/>
    </xf>
    <xf borderId="7" fillId="0" fontId="4" numFmtId="164" xfId="0" applyAlignment="1" applyBorder="1" applyFont="1" applyNumberFormat="1">
      <alignment horizontal="right" vertical="center"/>
    </xf>
    <xf borderId="7" fillId="0" fontId="4" numFmtId="0" xfId="0" applyAlignment="1" applyBorder="1" applyFont="1">
      <alignment horizontal="right" vertical="center"/>
    </xf>
    <xf borderId="15" fillId="3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9" fillId="0" fontId="14" numFmtId="0" xfId="0" applyAlignment="1" applyBorder="1" applyFont="1">
      <alignment vertical="center"/>
    </xf>
    <xf borderId="0" fillId="3" fontId="15" numFmtId="0" xfId="0" applyAlignment="1" applyFont="1">
      <alignment horizontal="center" vertical="center"/>
    </xf>
    <xf borderId="0" fillId="0" fontId="14" numFmtId="0" xfId="0" applyAlignment="1" applyFont="1">
      <alignment shrinkToFit="0" vertical="center" wrapText="0"/>
    </xf>
    <xf borderId="4" fillId="3" fontId="1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0"/>
    </xf>
    <xf borderId="4" fillId="0" fontId="14" numFmtId="0" xfId="0" applyAlignment="1" applyBorder="1" applyFont="1">
      <alignment vertical="center"/>
    </xf>
    <xf borderId="16" fillId="0" fontId="14" numFmtId="0" xfId="0" applyAlignment="1" applyBorder="1" applyFont="1">
      <alignment vertical="center"/>
    </xf>
    <xf borderId="0" fillId="3" fontId="16" numFmtId="0" xfId="0" applyAlignment="1" applyFont="1">
      <alignment horizontal="center" vertical="center"/>
    </xf>
    <xf borderId="16" fillId="0" fontId="6" numFmtId="0" xfId="0" applyAlignment="1" applyBorder="1" applyFont="1">
      <alignment vertical="center"/>
    </xf>
    <xf borderId="0" fillId="0" fontId="10" numFmtId="164" xfId="0" applyAlignment="1" applyFont="1" applyNumberFormat="1">
      <alignment horizontal="right" vertical="center"/>
    </xf>
    <xf borderId="16" fillId="0" fontId="11" numFmtId="0" xfId="0" applyAlignment="1" applyBorder="1" applyFont="1">
      <alignment vertical="center"/>
    </xf>
    <xf borderId="0" fillId="0" fontId="12" numFmtId="0" xfId="0" applyAlignment="1" applyFont="1">
      <alignment shrinkToFit="0" vertical="center" wrapText="0"/>
    </xf>
    <xf borderId="0" fillId="3" fontId="13" numFmtId="0" xfId="0" applyAlignment="1" applyFont="1">
      <alignment horizontal="center" vertical="center"/>
    </xf>
    <xf borderId="4" fillId="0" fontId="3" numFmtId="0" xfId="0" applyAlignment="1" applyBorder="1" applyFont="1">
      <alignment vertical="center"/>
    </xf>
    <xf borderId="17" fillId="0" fontId="17" numFmtId="0" xfId="0" applyAlignment="1" applyBorder="1" applyFont="1">
      <alignment horizontal="center" readingOrder="0" shrinkToFit="0" vertical="center" wrapText="1"/>
    </xf>
    <xf borderId="17" fillId="0" fontId="18" numFmtId="0" xfId="0" applyAlignment="1" applyBorder="1" applyFont="1">
      <alignment horizontal="center" readingOrder="0" shrinkToFit="0" vertical="center" wrapText="1"/>
    </xf>
    <xf borderId="17" fillId="0" fontId="19" numFmtId="0" xfId="0" applyAlignment="1" applyBorder="1" applyFont="1">
      <alignment horizontal="center" readingOrder="0" shrinkToFit="0" vertical="center" wrapText="1"/>
    </xf>
    <xf borderId="17" fillId="0" fontId="20" numFmtId="0" xfId="0" applyAlignment="1" applyBorder="1" applyFont="1">
      <alignment horizontal="center" readingOrder="0" shrinkToFit="0" vertical="center" wrapText="1"/>
    </xf>
    <xf borderId="17" fillId="0" fontId="18" numFmtId="0" xfId="0" applyAlignment="1" applyBorder="1" applyFont="1">
      <alignment horizontal="center" readingOrder="0" shrinkToFit="0" vertical="center" wrapText="1"/>
    </xf>
    <xf borderId="17" fillId="0" fontId="19" numFmtId="0" xfId="0" applyAlignment="1" applyBorder="1" applyFont="1">
      <alignment horizontal="center" readingOrder="0" shrinkToFit="0" vertical="center" wrapText="1"/>
    </xf>
    <xf borderId="17" fillId="0" fontId="20" numFmtId="0" xfId="0" applyAlignment="1" applyBorder="1" applyFont="1">
      <alignment horizontal="center" readingOrder="0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17" fillId="0" fontId="17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18" fillId="0" fontId="23" numFmtId="0" xfId="0" applyAlignment="1" applyBorder="1" applyFont="1">
      <alignment horizontal="left" vertical="center"/>
    </xf>
    <xf borderId="18" fillId="0" fontId="6" numFmtId="0" xfId="0" applyAlignment="1" applyBorder="1" applyFont="1">
      <alignment vertical="center"/>
    </xf>
    <xf borderId="0" fillId="0" fontId="24" numFmtId="0" xfId="0" applyAlignment="1" applyFont="1">
      <alignment vertical="center"/>
    </xf>
    <xf borderId="19" fillId="0" fontId="21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22" fillId="0" fontId="25" numFmtId="0" xfId="0" applyAlignment="1" applyBorder="1" applyFont="1">
      <alignment horizontal="center" vertical="center"/>
    </xf>
    <xf borderId="22" fillId="0" fontId="26" numFmtId="0" xfId="0" applyAlignment="1" applyBorder="1" applyFont="1">
      <alignment horizontal="center" shrinkToFit="0" vertical="center" wrapText="1"/>
    </xf>
    <xf borderId="22" fillId="0" fontId="21" numFmtId="3" xfId="0" applyAlignment="1" applyBorder="1" applyFont="1" applyNumberFormat="1">
      <alignment horizontal="center" readingOrder="0" vertical="center"/>
    </xf>
    <xf borderId="22" fillId="0" fontId="22" numFmtId="0" xfId="0" applyAlignment="1" applyBorder="1" applyFont="1">
      <alignment horizontal="center" vertical="center"/>
    </xf>
    <xf borderId="22" fillId="0" fontId="25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vertical="center"/>
    </xf>
    <xf borderId="0" fillId="0" fontId="25" numFmtId="0" xfId="0" applyAlignment="1" applyFont="1">
      <alignment horizontal="center" shrinkToFit="0" vertical="center" wrapText="1"/>
    </xf>
    <xf borderId="24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27" fillId="0" fontId="22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vertical="center"/>
    </xf>
    <xf borderId="8" fillId="0" fontId="25" numFmtId="0" xfId="0" applyAlignment="1" applyBorder="1" applyFont="1">
      <alignment horizontal="center" vertical="center"/>
    </xf>
    <xf borderId="28" fillId="0" fontId="6" numFmtId="0" xfId="0" applyAlignment="1" applyBorder="1" applyFont="1">
      <alignment vertical="center"/>
    </xf>
    <xf borderId="29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31" fillId="0" fontId="6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19" fillId="0" fontId="22" numFmtId="0" xfId="0" applyAlignment="1" applyBorder="1" applyFont="1">
      <alignment horizontal="center" shrinkToFit="0" vertical="center" wrapText="1"/>
    </xf>
    <xf borderId="22" fillId="0" fontId="27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22" fillId="0" fontId="28" numFmtId="0" xfId="0" applyAlignment="1" applyBorder="1" applyFont="1">
      <alignment horizontal="center" shrinkToFit="0" vertical="center" wrapText="1"/>
    </xf>
    <xf borderId="22" fillId="0" fontId="29" numFmtId="0" xfId="0" applyAlignment="1" applyBorder="1" applyFont="1">
      <alignment horizontal="center" shrinkToFit="0" vertical="center" wrapText="1"/>
    </xf>
    <xf borderId="22" fillId="0" fontId="30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vertical="center"/>
    </xf>
    <xf borderId="8" fillId="0" fontId="27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4" numFmtId="0" xfId="0" applyAlignment="1" applyBorder="1" applyFont="1">
      <alignment horizontal="center" readingOrder="0" vertical="center"/>
    </xf>
    <xf borderId="38" fillId="0" fontId="4" numFmtId="0" xfId="0" applyAlignment="1" applyBorder="1" applyFont="1">
      <alignment horizontal="center" readingOrder="0" vertical="center"/>
    </xf>
    <xf borderId="39" fillId="0" fontId="6" numFmtId="0" xfId="0" applyAlignment="1" applyBorder="1" applyFont="1">
      <alignment vertical="center"/>
    </xf>
    <xf borderId="38" fillId="0" fontId="4" numFmtId="20" xfId="0" applyAlignment="1" applyBorder="1" applyFont="1" applyNumberFormat="1">
      <alignment horizontal="center" readingOrder="0" vertical="center"/>
    </xf>
    <xf borderId="38" fillId="0" fontId="4" numFmtId="38" xfId="0" applyAlignment="1" applyBorder="1" applyFont="1" applyNumberFormat="1">
      <alignment horizontal="center" vertical="center"/>
    </xf>
    <xf borderId="38" fillId="0" fontId="4" numFmtId="0" xfId="0" applyAlignment="1" applyBorder="1" applyFont="1">
      <alignment horizontal="center" vertical="center"/>
    </xf>
    <xf borderId="40" fillId="0" fontId="6" numFmtId="0" xfId="0" applyAlignment="1" applyBorder="1" applyFont="1">
      <alignment vertical="center"/>
    </xf>
    <xf borderId="37" fillId="0" fontId="4" numFmtId="0" xfId="0" applyAlignment="1" applyBorder="1" applyFont="1">
      <alignment horizontal="center" readingOrder="0" vertical="center"/>
    </xf>
    <xf borderId="38" fillId="0" fontId="4" numFmtId="20" xfId="0" applyAlignment="1" applyBorder="1" applyFont="1" applyNumberFormat="1">
      <alignment horizontal="center" vertical="center"/>
    </xf>
    <xf borderId="38" fillId="0" fontId="4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37" fillId="0" fontId="4" numFmtId="0" xfId="0" applyAlignment="1" applyBorder="1" applyFont="1">
      <alignment horizontal="center" vertical="center"/>
    </xf>
    <xf borderId="41" fillId="0" fontId="23" numFmtId="0" xfId="0" applyAlignment="1" applyBorder="1" applyFont="1">
      <alignment horizontal="center" vertical="center"/>
    </xf>
    <xf borderId="42" fillId="0" fontId="6" numFmtId="0" xfId="0" applyAlignment="1" applyBorder="1" applyFont="1">
      <alignment vertical="center"/>
    </xf>
    <xf borderId="43" fillId="0" fontId="6" numFmtId="0" xfId="0" applyAlignment="1" applyBorder="1" applyFont="1">
      <alignment vertical="center"/>
    </xf>
    <xf borderId="44" fillId="0" fontId="25" numFmtId="38" xfId="0" applyAlignment="1" applyBorder="1" applyFont="1" applyNumberFormat="1">
      <alignment horizontal="center" vertical="center"/>
    </xf>
    <xf borderId="44" fillId="0" fontId="23" numFmtId="38" xfId="0" applyAlignment="1" applyBorder="1" applyFont="1" applyNumberFormat="1">
      <alignment horizontal="center" vertical="center"/>
    </xf>
    <xf borderId="44" fillId="0" fontId="4" numFmtId="38" xfId="0" applyAlignment="1" applyBorder="1" applyFont="1" applyNumberFormat="1">
      <alignment horizontal="center" vertical="center"/>
    </xf>
    <xf borderId="45" fillId="0" fontId="6" numFmtId="0" xfId="0" applyAlignment="1" applyBorder="1" applyFont="1">
      <alignment vertical="center"/>
    </xf>
    <xf borderId="0" fillId="0" fontId="4" numFmtId="38" xfId="0" applyAlignment="1" applyFont="1" applyNumberFormat="1">
      <alignment vertical="center"/>
    </xf>
    <xf borderId="11" fillId="0" fontId="21" numFmtId="0" xfId="0" applyAlignment="1" applyBorder="1" applyFont="1">
      <alignment horizontal="center" readingOrder="0" vertical="center"/>
    </xf>
    <xf borderId="11" fillId="0" fontId="22" numFmtId="0" xfId="0" applyAlignment="1" applyBorder="1" applyFont="1">
      <alignment horizontal="center" vertical="center"/>
    </xf>
    <xf borderId="22" fillId="0" fontId="21" numFmtId="3" xfId="0" applyAlignment="1" applyBorder="1" applyFont="1" applyNumberFormat="1">
      <alignment horizontal="center" vertical="center"/>
    </xf>
    <xf borderId="27" fillId="0" fontId="21" numFmtId="0" xfId="0" applyAlignment="1" applyBorder="1" applyFont="1">
      <alignment horizontal="center" shrinkToFit="0" vertical="center" wrapText="1"/>
    </xf>
    <xf borderId="19" fillId="0" fontId="21" numFmtId="0" xfId="0" applyAlignment="1" applyBorder="1" applyFont="1">
      <alignment horizontal="center" readingOrder="0" shrinkToFit="0" vertical="center" wrapText="1"/>
    </xf>
    <xf borderId="22" fillId="0" fontId="27" numFmtId="0" xfId="0" applyAlignment="1" applyBorder="1" applyFont="1">
      <alignment horizontal="center" readingOrder="0" shrinkToFit="0" vertical="center" wrapText="1"/>
    </xf>
    <xf borderId="33" fillId="0" fontId="21" numFmtId="0" xfId="0" applyAlignment="1" applyBorder="1" applyFont="1">
      <alignment horizontal="center" readingOrder="0" shrinkToFit="0" vertical="center" wrapText="1"/>
    </xf>
    <xf borderId="22" fillId="0" fontId="28" numFmtId="0" xfId="0" applyAlignment="1" applyBorder="1" applyFont="1">
      <alignment horizontal="center" readingOrder="0" shrinkToFit="0" vertical="center" wrapText="1"/>
    </xf>
    <xf borderId="8" fillId="0" fontId="27" numFmtId="0" xfId="0" applyAlignment="1" applyBorder="1" applyFont="1">
      <alignment horizontal="center" readingOrder="0" shrinkToFit="0" vertical="center" wrapText="1"/>
    </xf>
    <xf borderId="0" fillId="0" fontId="4" numFmtId="38" xfId="0" applyAlignment="1" applyFont="1" applyNumberFormat="1">
      <alignment horizontal="center" vertical="center"/>
    </xf>
    <xf borderId="38" fillId="0" fontId="21" numFmtId="0" xfId="0" applyAlignment="1" applyBorder="1" applyFont="1">
      <alignment horizontal="center" readingOrder="0" vertical="center"/>
    </xf>
    <xf borderId="38" fillId="0" fontId="22" numFmtId="0" xfId="0" applyAlignment="1" applyBorder="1" applyFont="1">
      <alignment horizontal="center" vertical="center"/>
    </xf>
    <xf borderId="41" fillId="0" fontId="25" numFmtId="0" xfId="0" applyAlignment="1" applyBorder="1" applyFont="1">
      <alignment horizontal="center" vertical="center"/>
    </xf>
    <xf borderId="38" fillId="0" fontId="21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left" readingOrder="0" vertical="center"/>
    </xf>
    <xf borderId="22" fillId="0" fontId="25" numFmtId="0" xfId="0" applyAlignment="1" applyBorder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29</xdr:row>
      <xdr:rowOff>-19050</xdr:rowOff>
    </xdr:from>
    <xdr:ext cx="533400" cy="390525"/>
    <xdr:sp>
      <xdr:nvSpPr>
        <xdr:cNvPr id="3" name="Shape 3"/>
        <xdr:cNvSpPr txBox="1"/>
      </xdr:nvSpPr>
      <xdr:spPr>
        <a:xfrm>
          <a:off x="5084063" y="3589500"/>
          <a:ext cx="523875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32</xdr:row>
      <xdr:rowOff>-19050</xdr:rowOff>
    </xdr:from>
    <xdr:ext cx="552450" cy="390525"/>
    <xdr:sp>
      <xdr:nvSpPr>
        <xdr:cNvPr id="4" name="Shape 4"/>
        <xdr:cNvSpPr txBox="1"/>
      </xdr:nvSpPr>
      <xdr:spPr>
        <a:xfrm>
          <a:off x="5074538" y="3589500"/>
          <a:ext cx="542925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29</xdr:row>
      <xdr:rowOff>-19050</xdr:rowOff>
    </xdr:from>
    <xdr:ext cx="533400" cy="390525"/>
    <xdr:sp>
      <xdr:nvSpPr>
        <xdr:cNvPr id="3" name="Shape 3"/>
        <xdr:cNvSpPr txBox="1"/>
      </xdr:nvSpPr>
      <xdr:spPr>
        <a:xfrm>
          <a:off x="5084063" y="3589500"/>
          <a:ext cx="523875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32</xdr:row>
      <xdr:rowOff>-19050</xdr:rowOff>
    </xdr:from>
    <xdr:ext cx="552450" cy="390525"/>
    <xdr:sp>
      <xdr:nvSpPr>
        <xdr:cNvPr id="4" name="Shape 4"/>
        <xdr:cNvSpPr txBox="1"/>
      </xdr:nvSpPr>
      <xdr:spPr>
        <a:xfrm>
          <a:off x="5074538" y="3589500"/>
          <a:ext cx="542925" cy="381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5" max="6" width="11.57"/>
    <col customWidth="1" min="7" max="7" width="17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>
        <v>3980.0</v>
      </c>
      <c r="G3" s="6">
        <v>3.0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DBDB"/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3" width="8.71"/>
    <col customWidth="1" min="4" max="4" width="8.29"/>
    <col customWidth="1" min="5" max="5" width="9.86"/>
    <col customWidth="1" min="6" max="26" width="8.71"/>
  </cols>
  <sheetData>
    <row r="1" ht="12.75" customHeight="1"/>
    <row r="2" ht="12.75" customHeight="1">
      <c r="A2" s="7" t="s">
        <v>13</v>
      </c>
    </row>
    <row r="3" ht="12.75" customHeight="1">
      <c r="A3" s="7" t="s">
        <v>14</v>
      </c>
    </row>
    <row r="4" ht="12.75" customHeight="1">
      <c r="A4" s="7" t="s">
        <v>15</v>
      </c>
    </row>
    <row r="5" ht="12.75" customHeight="1">
      <c r="A5" s="7" t="s">
        <v>16</v>
      </c>
    </row>
    <row r="6" ht="12.75" customHeight="1">
      <c r="A6" s="7" t="s">
        <v>17</v>
      </c>
    </row>
    <row r="7" ht="12.75" customHeight="1">
      <c r="A7" s="7" t="s">
        <v>18</v>
      </c>
    </row>
    <row r="8" ht="12.75" customHeight="1">
      <c r="A8" s="7" t="s">
        <v>19</v>
      </c>
    </row>
    <row r="9" ht="12.75" customHeight="1">
      <c r="A9" s="7" t="s">
        <v>20</v>
      </c>
    </row>
    <row r="10" ht="12.75" customHeight="1"/>
    <row r="11" ht="12.75" customHeight="1"/>
    <row r="12" ht="12.75" customHeight="1">
      <c r="A12" s="7" t="s">
        <v>21</v>
      </c>
    </row>
    <row r="13" ht="12.75" customHeight="1">
      <c r="A13" s="7" t="s">
        <v>22</v>
      </c>
      <c r="C13" s="7" t="s">
        <v>23</v>
      </c>
    </row>
    <row r="14" ht="12.75" customHeight="1">
      <c r="A14" s="7" t="s">
        <v>24</v>
      </c>
      <c r="B14" s="8" t="s">
        <v>25</v>
      </c>
      <c r="C14" s="7" t="s">
        <v>26</v>
      </c>
    </row>
    <row r="15" ht="12.75" customHeight="1">
      <c r="A15" s="7" t="s">
        <v>27</v>
      </c>
      <c r="B15" s="8" t="s">
        <v>25</v>
      </c>
      <c r="C15" s="7" t="s">
        <v>26</v>
      </c>
    </row>
    <row r="16" ht="12.75" customHeight="1">
      <c r="A16" s="7" t="s">
        <v>28</v>
      </c>
      <c r="B16" s="8" t="s">
        <v>25</v>
      </c>
      <c r="C16" s="7" t="s">
        <v>29</v>
      </c>
    </row>
    <row r="17" ht="12.75" customHeight="1"/>
    <row r="18" ht="12.75" customHeight="1"/>
    <row r="19" ht="12.75" customHeight="1">
      <c r="A19" s="7" t="s">
        <v>30</v>
      </c>
    </row>
    <row r="20" ht="12.75" customHeight="1">
      <c r="A20" s="7" t="s">
        <v>31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8" width="12.57"/>
    <col customWidth="1" min="9" max="26" width="8.71"/>
  </cols>
  <sheetData>
    <row r="1" ht="12.75" customHeight="1">
      <c r="B1" s="9" t="s">
        <v>32</v>
      </c>
      <c r="C1" s="10"/>
      <c r="D1" s="10"/>
      <c r="E1" s="10"/>
      <c r="F1" s="10"/>
      <c r="G1" s="10"/>
      <c r="H1" s="10"/>
    </row>
    <row r="2" ht="12.75" customHeight="1">
      <c r="B2" s="11"/>
    </row>
    <row r="3" ht="12.75" customHeight="1"/>
    <row r="4" ht="12.75" customHeight="1">
      <c r="B4" s="12" t="s">
        <v>33</v>
      </c>
      <c r="C4" s="13" t="s">
        <v>34</v>
      </c>
    </row>
    <row r="5" ht="12.75" customHeight="1">
      <c r="G5" s="7" t="s">
        <v>35</v>
      </c>
    </row>
    <row r="6" ht="12.75" customHeight="1">
      <c r="E6" s="14"/>
      <c r="G6" s="7" t="s">
        <v>36</v>
      </c>
    </row>
    <row r="7" ht="12.75" customHeight="1">
      <c r="B7" s="15" t="s">
        <v>37</v>
      </c>
      <c r="C7" s="16" t="str">
        <f>'集計'!$B$2</f>
        <v>#REF!</v>
      </c>
      <c r="D7" s="17"/>
      <c r="G7" s="7" t="s">
        <v>38</v>
      </c>
    </row>
    <row r="8" ht="12.75" customHeight="1">
      <c r="B8" s="18" t="s">
        <v>39</v>
      </c>
      <c r="C8" s="19">
        <v>3.0</v>
      </c>
      <c r="D8" s="20"/>
      <c r="G8" s="7" t="s">
        <v>40</v>
      </c>
    </row>
    <row r="9" ht="12.75" customHeight="1"/>
    <row r="10" ht="13.5" customHeight="1">
      <c r="B10" s="21" t="s">
        <v>41</v>
      </c>
      <c r="C10" s="22"/>
      <c r="D10" s="23">
        <v>221040.0</v>
      </c>
      <c r="E10" s="22"/>
      <c r="F10" s="24" t="s">
        <v>42</v>
      </c>
    </row>
    <row r="11" ht="13.5" customHeight="1">
      <c r="B11" s="25"/>
      <c r="C11" s="17"/>
      <c r="D11" s="17"/>
      <c r="E11" s="17"/>
      <c r="F11" s="26"/>
    </row>
    <row r="12" ht="12.75" customHeight="1">
      <c r="C12" s="27"/>
      <c r="D12" s="28" t="s">
        <v>43</v>
      </c>
    </row>
    <row r="13" ht="12.75" customHeight="1"/>
    <row r="14" ht="12.75" customHeight="1">
      <c r="B14" s="29" t="s">
        <v>44</v>
      </c>
      <c r="C14" s="30"/>
      <c r="D14" s="31" t="s">
        <v>45</v>
      </c>
      <c r="E14" s="29" t="s">
        <v>46</v>
      </c>
      <c r="F14" s="30"/>
      <c r="G14" s="29" t="s">
        <v>47</v>
      </c>
      <c r="H14" s="30"/>
    </row>
    <row r="15" ht="12.75" customHeight="1">
      <c r="B15" s="32" t="s">
        <v>23</v>
      </c>
      <c r="C15" s="32"/>
      <c r="D15" s="32">
        <v>102.0</v>
      </c>
      <c r="E15" s="33">
        <v>206040.0</v>
      </c>
      <c r="F15" s="17"/>
      <c r="G15" s="34">
        <v>0.0</v>
      </c>
      <c r="H15" s="17"/>
    </row>
    <row r="16" ht="12.75" customHeight="1">
      <c r="B16" s="35" t="s">
        <v>48</v>
      </c>
      <c r="C16" s="35"/>
      <c r="D16" s="35">
        <v>30.0</v>
      </c>
      <c r="E16" s="36">
        <v>15000.0</v>
      </c>
      <c r="F16" s="20"/>
      <c r="G16" s="37">
        <v>0.0</v>
      </c>
      <c r="H16" s="20"/>
    </row>
    <row r="17" ht="12.75" customHeight="1">
      <c r="B17" s="35"/>
      <c r="C17" s="35"/>
      <c r="D17" s="35"/>
      <c r="E17" s="38"/>
      <c r="F17" s="20"/>
      <c r="G17" s="13"/>
      <c r="H17" s="17"/>
    </row>
    <row r="18" ht="12.75" customHeight="1">
      <c r="B18" s="35"/>
      <c r="C18" s="35"/>
      <c r="D18" s="35"/>
      <c r="E18" s="38"/>
      <c r="F18" s="20"/>
      <c r="G18" s="13"/>
      <c r="H18" s="17"/>
    </row>
    <row r="19" ht="12.75" customHeight="1"/>
    <row r="20" ht="12.75" customHeight="1"/>
    <row r="21" ht="12.75" customHeight="1"/>
    <row r="22" ht="12.75" customHeight="1"/>
    <row r="23" ht="12.75" customHeight="1">
      <c r="B23" s="9" t="s">
        <v>32</v>
      </c>
      <c r="C23" s="10"/>
      <c r="D23" s="10"/>
      <c r="E23" s="10"/>
      <c r="F23" s="10"/>
      <c r="G23" s="10"/>
      <c r="H23" s="10"/>
    </row>
    <row r="24" ht="12.75" customHeight="1">
      <c r="B24" s="11"/>
    </row>
    <row r="25" ht="12.75" customHeight="1"/>
    <row r="26" ht="12.75" customHeight="1">
      <c r="B26" s="12" t="s">
        <v>49</v>
      </c>
      <c r="C26" s="13" t="s">
        <v>34</v>
      </c>
    </row>
    <row r="27" ht="12.75" customHeight="1">
      <c r="G27" s="7" t="s">
        <v>35</v>
      </c>
    </row>
    <row r="28" ht="12.75" customHeight="1">
      <c r="E28" s="14"/>
      <c r="G28" s="7" t="s">
        <v>36</v>
      </c>
    </row>
    <row r="29" ht="12.75" customHeight="1">
      <c r="B29" s="15" t="s">
        <v>37</v>
      </c>
      <c r="C29" s="16" t="str">
        <f>'集計'!$B$2</f>
        <v>#REF!</v>
      </c>
      <c r="D29" s="17"/>
      <c r="G29" s="7" t="s">
        <v>38</v>
      </c>
    </row>
    <row r="30" ht="12.75" customHeight="1">
      <c r="B30" s="18" t="s">
        <v>39</v>
      </c>
      <c r="C30" s="19">
        <v>3.0</v>
      </c>
      <c r="D30" s="20"/>
      <c r="G30" s="7" t="s">
        <v>40</v>
      </c>
    </row>
    <row r="31" ht="12.75" customHeight="1"/>
    <row r="32" ht="13.5" customHeight="1">
      <c r="B32" s="21" t="s">
        <v>41</v>
      </c>
      <c r="C32" s="22"/>
      <c r="D32" s="23">
        <v>148014.0</v>
      </c>
      <c r="E32" s="22"/>
      <c r="F32" s="24" t="s">
        <v>42</v>
      </c>
    </row>
    <row r="33" ht="13.5" customHeight="1">
      <c r="B33" s="25"/>
      <c r="C33" s="17"/>
      <c r="D33" s="17"/>
      <c r="E33" s="17"/>
      <c r="F33" s="26"/>
    </row>
    <row r="34" ht="12.75" customHeight="1">
      <c r="C34" s="27"/>
      <c r="D34" s="28" t="s">
        <v>43</v>
      </c>
    </row>
    <row r="35" ht="12.75" customHeight="1"/>
    <row r="36" ht="12.75" customHeight="1">
      <c r="B36" s="29" t="s">
        <v>44</v>
      </c>
      <c r="C36" s="30"/>
      <c r="D36" s="31" t="s">
        <v>45</v>
      </c>
      <c r="E36" s="29" t="s">
        <v>46</v>
      </c>
      <c r="F36" s="30"/>
      <c r="G36" s="29" t="s">
        <v>47</v>
      </c>
      <c r="H36" s="30"/>
    </row>
    <row r="37" ht="12.75" customHeight="1">
      <c r="B37" s="32" t="s">
        <v>23</v>
      </c>
      <c r="C37" s="32"/>
      <c r="D37" s="32">
        <v>73.0</v>
      </c>
      <c r="E37" s="33">
        <f>IF(C30=1,D37*1620*0.9,IF(C30=2,D37*1820*0.9,D37*2020*0.9))</f>
        <v>132714</v>
      </c>
      <c r="F37" s="17"/>
      <c r="G37" s="34">
        <v>0.0</v>
      </c>
      <c r="H37" s="17"/>
    </row>
    <row r="38" ht="12.75" customHeight="1">
      <c r="B38" s="35" t="s">
        <v>48</v>
      </c>
      <c r="C38" s="35"/>
      <c r="D38" s="35">
        <v>34.0</v>
      </c>
      <c r="E38" s="36">
        <f>D38*500*0.9</f>
        <v>15300</v>
      </c>
      <c r="F38" s="20"/>
      <c r="G38" s="37">
        <v>0.0</v>
      </c>
      <c r="H38" s="20"/>
    </row>
    <row r="39" ht="12.75" customHeight="1">
      <c r="B39" s="35"/>
      <c r="C39" s="35"/>
      <c r="D39" s="35"/>
      <c r="E39" s="38"/>
      <c r="F39" s="20"/>
      <c r="G39" s="13"/>
      <c r="H39" s="17"/>
    </row>
    <row r="40" ht="12.75" customHeight="1">
      <c r="B40" s="35"/>
      <c r="C40" s="35"/>
      <c r="D40" s="35"/>
      <c r="E40" s="38"/>
      <c r="F40" s="20"/>
      <c r="G40" s="13"/>
      <c r="H40" s="17"/>
    </row>
    <row r="41" ht="12.75" customHeight="1"/>
    <row r="42" ht="12.75" customHeight="1"/>
    <row r="43" ht="12.75" customHeight="1"/>
    <row r="44" ht="12.75" customHeight="1"/>
    <row r="45" ht="12.75" customHeight="1">
      <c r="B45" s="9" t="s">
        <v>32</v>
      </c>
      <c r="C45" s="10"/>
      <c r="D45" s="10"/>
      <c r="E45" s="10"/>
      <c r="F45" s="10"/>
      <c r="G45" s="10"/>
      <c r="H45" s="10"/>
    </row>
    <row r="46" ht="12.75" customHeight="1">
      <c r="B46" s="11"/>
    </row>
    <row r="47" ht="12.75" customHeight="1"/>
    <row r="48" ht="12.75" customHeight="1">
      <c r="B48" s="12" t="s">
        <v>50</v>
      </c>
      <c r="C48" s="13" t="s">
        <v>34</v>
      </c>
    </row>
    <row r="49" ht="12.75" customHeight="1">
      <c r="G49" s="7" t="s">
        <v>35</v>
      </c>
    </row>
    <row r="50" ht="12.75" customHeight="1">
      <c r="E50" s="14"/>
      <c r="G50" s="7" t="s">
        <v>36</v>
      </c>
    </row>
    <row r="51" ht="12.75" customHeight="1">
      <c r="B51" s="15" t="s">
        <v>37</v>
      </c>
      <c r="C51" s="16" t="str">
        <f>'集計'!$B$2</f>
        <v>#REF!</v>
      </c>
      <c r="D51" s="17"/>
      <c r="G51" s="7" t="s">
        <v>38</v>
      </c>
    </row>
    <row r="52" ht="12.75" customHeight="1">
      <c r="B52" s="18" t="s">
        <v>39</v>
      </c>
      <c r="C52" s="19">
        <v>3.0</v>
      </c>
      <c r="D52" s="20"/>
      <c r="G52" s="7" t="s">
        <v>40</v>
      </c>
    </row>
    <row r="53" ht="12.75" customHeight="1"/>
    <row r="54" ht="13.5" customHeight="1">
      <c r="B54" s="21" t="s">
        <v>41</v>
      </c>
      <c r="C54" s="22"/>
      <c r="D54" s="23">
        <v>81738.0</v>
      </c>
      <c r="E54" s="22"/>
      <c r="F54" s="24" t="s">
        <v>42</v>
      </c>
    </row>
    <row r="55" ht="13.5" customHeight="1">
      <c r="B55" s="25"/>
      <c r="C55" s="17"/>
      <c r="D55" s="17"/>
      <c r="E55" s="17"/>
      <c r="F55" s="26"/>
    </row>
    <row r="56" ht="12.75" customHeight="1">
      <c r="C56" s="27"/>
      <c r="D56" s="28" t="s">
        <v>43</v>
      </c>
    </row>
    <row r="57" ht="12.75" customHeight="1"/>
    <row r="58" ht="12.75" customHeight="1">
      <c r="B58" s="29" t="s">
        <v>44</v>
      </c>
      <c r="C58" s="30"/>
      <c r="D58" s="31" t="s">
        <v>45</v>
      </c>
      <c r="E58" s="29" t="s">
        <v>46</v>
      </c>
      <c r="F58" s="30"/>
      <c r="G58" s="29" t="s">
        <v>47</v>
      </c>
      <c r="H58" s="30"/>
    </row>
    <row r="59" ht="12.75" customHeight="1">
      <c r="B59" s="32" t="s">
        <v>23</v>
      </c>
      <c r="C59" s="32"/>
      <c r="D59" s="32">
        <v>41.0</v>
      </c>
      <c r="E59" s="33">
        <f>IF(C52=1,D59*1620*0.9,IF(C52=2,D59*1820*0.9,D59*2020*0.9))</f>
        <v>74538</v>
      </c>
      <c r="F59" s="17"/>
      <c r="G59" s="34">
        <v>0.0</v>
      </c>
      <c r="H59" s="17"/>
    </row>
    <row r="60" ht="12.75" customHeight="1">
      <c r="B60" s="35" t="s">
        <v>48</v>
      </c>
      <c r="C60" s="35"/>
      <c r="D60" s="35">
        <v>16.0</v>
      </c>
      <c r="E60" s="36">
        <f>D60*500*0.9</f>
        <v>7200</v>
      </c>
      <c r="F60" s="20"/>
      <c r="G60" s="37">
        <v>0.0</v>
      </c>
      <c r="H60" s="20"/>
    </row>
    <row r="61" ht="12.75" customHeight="1">
      <c r="B61" s="35"/>
      <c r="C61" s="35"/>
      <c r="D61" s="35"/>
      <c r="E61" s="38"/>
      <c r="F61" s="20"/>
      <c r="G61" s="13"/>
      <c r="H61" s="17"/>
    </row>
    <row r="62" ht="12.75" customHeight="1">
      <c r="B62" s="35"/>
      <c r="C62" s="35"/>
      <c r="D62" s="35"/>
      <c r="E62" s="38"/>
      <c r="F62" s="20"/>
      <c r="G62" s="13"/>
      <c r="H62" s="17"/>
    </row>
    <row r="63" ht="12.75" customHeight="1"/>
    <row r="64" ht="12.75" customHeight="1"/>
    <row r="65" ht="12.75" customHeight="1"/>
    <row r="66" ht="12.75" customHeight="1"/>
    <row r="67" ht="12.75" customHeight="1">
      <c r="B67" s="9" t="s">
        <v>32</v>
      </c>
      <c r="C67" s="10"/>
      <c r="D67" s="10"/>
      <c r="E67" s="10"/>
      <c r="F67" s="10"/>
      <c r="G67" s="10"/>
      <c r="H67" s="10"/>
    </row>
    <row r="68" ht="12.75" customHeight="1">
      <c r="B68" s="11"/>
    </row>
    <row r="69" ht="12.75" customHeight="1"/>
    <row r="70" ht="12.75" customHeight="1">
      <c r="B70" s="12" t="s">
        <v>51</v>
      </c>
      <c r="C70" s="13" t="s">
        <v>34</v>
      </c>
    </row>
    <row r="71" ht="12.75" customHeight="1">
      <c r="G71" s="7" t="s">
        <v>35</v>
      </c>
    </row>
    <row r="72" ht="12.75" customHeight="1">
      <c r="E72" s="14"/>
      <c r="G72" s="7" t="s">
        <v>36</v>
      </c>
    </row>
    <row r="73" ht="12.75" customHeight="1">
      <c r="B73" s="15" t="s">
        <v>37</v>
      </c>
      <c r="C73" s="16" t="str">
        <f>'集計'!$B$2</f>
        <v>#REF!</v>
      </c>
      <c r="D73" s="17"/>
      <c r="G73" s="7" t="s">
        <v>38</v>
      </c>
    </row>
    <row r="74" ht="12.75" customHeight="1">
      <c r="B74" s="18" t="s">
        <v>39</v>
      </c>
      <c r="C74" s="19">
        <v>3.0</v>
      </c>
      <c r="D74" s="20"/>
      <c r="G74" s="7" t="s">
        <v>40</v>
      </c>
    </row>
    <row r="75" ht="12.75" customHeight="1"/>
    <row r="76" ht="13.5" customHeight="1">
      <c r="B76" s="21" t="s">
        <v>41</v>
      </c>
      <c r="C76" s="22"/>
      <c r="D76" s="23">
        <v>142614.0</v>
      </c>
      <c r="E76" s="22"/>
      <c r="F76" s="24" t="s">
        <v>42</v>
      </c>
    </row>
    <row r="77" ht="13.5" customHeight="1">
      <c r="B77" s="25"/>
      <c r="C77" s="17"/>
      <c r="D77" s="17"/>
      <c r="E77" s="17"/>
      <c r="F77" s="26"/>
    </row>
    <row r="78" ht="12.75" customHeight="1">
      <c r="C78" s="27"/>
      <c r="D78" s="28" t="s">
        <v>43</v>
      </c>
    </row>
    <row r="79" ht="12.75" customHeight="1"/>
    <row r="80" ht="12.75" customHeight="1">
      <c r="B80" s="29" t="s">
        <v>44</v>
      </c>
      <c r="C80" s="30"/>
      <c r="D80" s="39" t="s">
        <v>45</v>
      </c>
      <c r="E80" s="29" t="s">
        <v>46</v>
      </c>
      <c r="F80" s="30"/>
      <c r="G80" s="29" t="s">
        <v>47</v>
      </c>
      <c r="H80" s="30"/>
    </row>
    <row r="81" ht="12.75" customHeight="1">
      <c r="B81" s="32" t="s">
        <v>23</v>
      </c>
      <c r="C81" s="32"/>
      <c r="D81" s="32">
        <v>73.0</v>
      </c>
      <c r="E81" s="33">
        <f>IF(C74=1,D81*1620*0.9,IF(C74=2,D81*1820*0.9,D81*2020*0.9))</f>
        <v>132714</v>
      </c>
      <c r="F81" s="17"/>
      <c r="G81" s="34">
        <v>0.0</v>
      </c>
      <c r="H81" s="17"/>
    </row>
    <row r="82" ht="12.75" customHeight="1">
      <c r="B82" s="35" t="s">
        <v>48</v>
      </c>
      <c r="C82" s="35"/>
      <c r="D82" s="35">
        <v>22.0</v>
      </c>
      <c r="E82" s="36">
        <f>D82*500*0.9</f>
        <v>9900</v>
      </c>
      <c r="F82" s="20"/>
      <c r="G82" s="37">
        <v>0.0</v>
      </c>
      <c r="H82" s="20"/>
    </row>
    <row r="83" ht="12.75" customHeight="1">
      <c r="B83" s="35"/>
      <c r="C83" s="35"/>
      <c r="D83" s="35"/>
      <c r="E83" s="38"/>
      <c r="F83" s="20"/>
      <c r="G83" s="13"/>
      <c r="H83" s="17"/>
    </row>
    <row r="84" ht="12.75" customHeight="1">
      <c r="B84" s="35"/>
      <c r="C84" s="35"/>
      <c r="D84" s="35"/>
      <c r="E84" s="38"/>
      <c r="F84" s="20"/>
      <c r="G84" s="13"/>
      <c r="H84" s="17"/>
    </row>
    <row r="85" ht="12.75" customHeight="1"/>
    <row r="86" ht="12.75" customHeight="1"/>
    <row r="87" ht="12.75" customHeight="1"/>
    <row r="88" ht="12.75" customHeight="1"/>
    <row r="89" ht="12.75" customHeight="1">
      <c r="B89" s="9" t="s">
        <v>32</v>
      </c>
      <c r="C89" s="10"/>
      <c r="D89" s="10"/>
      <c r="E89" s="10"/>
      <c r="F89" s="10"/>
      <c r="G89" s="10"/>
      <c r="H89" s="10"/>
    </row>
    <row r="90" ht="12.75" customHeight="1">
      <c r="B90" s="11"/>
    </row>
    <row r="91" ht="12.75" customHeight="1"/>
    <row r="92" ht="12.75" customHeight="1">
      <c r="B92" s="12" t="s">
        <v>52</v>
      </c>
      <c r="C92" s="13" t="s">
        <v>34</v>
      </c>
    </row>
    <row r="93" ht="12.75" customHeight="1">
      <c r="G93" s="7" t="s">
        <v>35</v>
      </c>
    </row>
    <row r="94" ht="12.75" customHeight="1">
      <c r="E94" s="14"/>
      <c r="G94" s="7" t="s">
        <v>36</v>
      </c>
    </row>
    <row r="95" ht="12.75" customHeight="1">
      <c r="B95" s="15" t="s">
        <v>37</v>
      </c>
      <c r="C95" s="16" t="str">
        <f>'集計'!$B$2</f>
        <v>#REF!</v>
      </c>
      <c r="D95" s="17"/>
      <c r="G95" s="7" t="s">
        <v>38</v>
      </c>
    </row>
    <row r="96" ht="12.75" customHeight="1">
      <c r="B96" s="18" t="s">
        <v>39</v>
      </c>
      <c r="C96" s="19">
        <v>3.0</v>
      </c>
      <c r="D96" s="20"/>
      <c r="G96" s="7" t="s">
        <v>40</v>
      </c>
    </row>
    <row r="97" ht="12.75" customHeight="1"/>
    <row r="98" ht="13.5" customHeight="1">
      <c r="B98" s="21" t="s">
        <v>41</v>
      </c>
      <c r="C98" s="22"/>
      <c r="D98" s="23">
        <v>159858.0</v>
      </c>
      <c r="E98" s="22"/>
      <c r="F98" s="24" t="s">
        <v>42</v>
      </c>
    </row>
    <row r="99" ht="13.5" customHeight="1">
      <c r="B99" s="25"/>
      <c r="C99" s="17"/>
      <c r="D99" s="17"/>
      <c r="E99" s="17"/>
      <c r="F99" s="26"/>
    </row>
    <row r="100" ht="12.75" customHeight="1">
      <c r="C100" s="27"/>
      <c r="D100" s="28" t="s">
        <v>43</v>
      </c>
    </row>
    <row r="101" ht="12.75" customHeight="1"/>
    <row r="102" ht="12.75" customHeight="1">
      <c r="B102" s="29" t="s">
        <v>44</v>
      </c>
      <c r="C102" s="30"/>
      <c r="D102" s="31" t="s">
        <v>45</v>
      </c>
      <c r="E102" s="29" t="s">
        <v>46</v>
      </c>
      <c r="F102" s="30"/>
      <c r="G102" s="29" t="s">
        <v>47</v>
      </c>
      <c r="H102" s="30"/>
    </row>
    <row r="103" ht="12.75" customHeight="1">
      <c r="B103" s="32" t="s">
        <v>23</v>
      </c>
      <c r="C103" s="32"/>
      <c r="D103" s="32">
        <v>81.0</v>
      </c>
      <c r="E103" s="33">
        <f>IF(C96=1,D103*1620*0.9,IF(C96=2,D103*1820*0.9,D103*2020*0.9))</f>
        <v>147258</v>
      </c>
      <c r="F103" s="17"/>
      <c r="G103" s="34">
        <v>0.0</v>
      </c>
      <c r="H103" s="17"/>
    </row>
    <row r="104" ht="12.75" customHeight="1">
      <c r="B104" s="35" t="s">
        <v>48</v>
      </c>
      <c r="C104" s="35"/>
      <c r="D104" s="35">
        <v>28.0</v>
      </c>
      <c r="E104" s="36">
        <f>D104*500*0.9</f>
        <v>12600</v>
      </c>
      <c r="F104" s="20"/>
      <c r="G104" s="37">
        <v>0.0</v>
      </c>
      <c r="H104" s="20"/>
    </row>
    <row r="105" ht="12.75" customHeight="1">
      <c r="B105" s="35"/>
      <c r="C105" s="35"/>
      <c r="D105" s="35"/>
      <c r="E105" s="38"/>
      <c r="F105" s="20"/>
      <c r="G105" s="13"/>
      <c r="H105" s="17"/>
    </row>
    <row r="106" ht="12.75" customHeight="1">
      <c r="B106" s="35"/>
      <c r="C106" s="35"/>
      <c r="D106" s="35"/>
      <c r="E106" s="38"/>
      <c r="F106" s="20"/>
      <c r="G106" s="13"/>
      <c r="H106" s="17"/>
    </row>
    <row r="107" ht="12.75" customHeight="1">
      <c r="A107" s="40"/>
      <c r="B107" s="41"/>
      <c r="C107" s="41"/>
      <c r="D107" s="41"/>
      <c r="E107" s="41"/>
      <c r="F107" s="41"/>
      <c r="G107" s="41"/>
      <c r="H107" s="41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2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2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2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2.75" customHeight="1">
      <c r="A111" s="40"/>
      <c r="B111" s="42" t="s">
        <v>32</v>
      </c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2.75" customHeight="1">
      <c r="A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2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2.75" customHeight="1">
      <c r="A114" s="40"/>
      <c r="B114" s="12" t="s">
        <v>53</v>
      </c>
      <c r="C114" s="17"/>
      <c r="D114" s="14" t="s">
        <v>34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2.75" customHeight="1">
      <c r="A115" s="40"/>
      <c r="B115" s="40"/>
      <c r="C115" s="40"/>
      <c r="D115" s="40"/>
      <c r="E115" s="40"/>
      <c r="F115" s="40"/>
      <c r="G115" s="43" t="s">
        <v>35</v>
      </c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2.75" customHeight="1">
      <c r="A116" s="40"/>
      <c r="B116" s="40"/>
      <c r="C116" s="40"/>
      <c r="D116" s="40"/>
      <c r="E116" s="40"/>
      <c r="F116" s="40"/>
      <c r="G116" s="43" t="s">
        <v>36</v>
      </c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2.75" customHeight="1">
      <c r="A117" s="40"/>
      <c r="B117" s="44" t="s">
        <v>37</v>
      </c>
      <c r="C117" s="45" t="str">
        <f>'集計'!$B$2</f>
        <v>#REF!</v>
      </c>
      <c r="D117" s="17"/>
      <c r="E117" s="40"/>
      <c r="F117" s="40"/>
      <c r="G117" s="7" t="s">
        <v>38</v>
      </c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2.75" customHeight="1">
      <c r="A118" s="40"/>
      <c r="B118" s="44" t="s">
        <v>39</v>
      </c>
      <c r="C118" s="16">
        <v>2.0</v>
      </c>
      <c r="D118" s="17"/>
      <c r="E118" s="40"/>
      <c r="F118" s="40"/>
      <c r="G118" s="7" t="s">
        <v>40</v>
      </c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2.75" customHeight="1">
      <c r="A119" s="40"/>
      <c r="B119" s="46"/>
      <c r="C119" s="46"/>
      <c r="D119" s="46"/>
      <c r="E119" s="46"/>
      <c r="F119" s="46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2.75" customHeight="1">
      <c r="A120" s="47"/>
      <c r="B120" s="48" t="s">
        <v>41</v>
      </c>
      <c r="C120" s="49"/>
      <c r="D120" s="50">
        <v>75996.0</v>
      </c>
      <c r="F120" s="51" t="s">
        <v>42</v>
      </c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2.75" customHeight="1">
      <c r="A121" s="47"/>
      <c r="B121" s="17"/>
      <c r="C121" s="26"/>
      <c r="D121" s="17"/>
      <c r="E121" s="17"/>
      <c r="F121" s="26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2.75" customHeight="1">
      <c r="A122" s="40"/>
      <c r="B122" s="40"/>
      <c r="C122" s="40"/>
      <c r="D122" s="52" t="s">
        <v>43</v>
      </c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2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2.75" customHeight="1">
      <c r="A124" s="40"/>
      <c r="B124" s="53" t="s">
        <v>44</v>
      </c>
      <c r="D124" s="53" t="s">
        <v>45</v>
      </c>
      <c r="E124" s="53" t="s">
        <v>46</v>
      </c>
      <c r="G124" s="53" t="s">
        <v>47</v>
      </c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2.75" customHeight="1">
      <c r="A125" s="40"/>
      <c r="B125" s="46" t="s">
        <v>23</v>
      </c>
      <c r="C125" s="46"/>
      <c r="D125" s="13">
        <v>42.0</v>
      </c>
      <c r="E125" s="33">
        <f>IF(C118=1,D125*1620*0.9,IF(C118=2,D125*1820*0.9,D125*2020*0.9))</f>
        <v>68796</v>
      </c>
      <c r="F125" s="17"/>
      <c r="G125" s="34">
        <v>0.0</v>
      </c>
      <c r="H125" s="17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2.75" customHeight="1">
      <c r="A126" s="40"/>
      <c r="B126" s="46" t="s">
        <v>48</v>
      </c>
      <c r="C126" s="46"/>
      <c r="D126" s="13">
        <v>16.0</v>
      </c>
      <c r="E126" s="36">
        <f>D126*500*0.9</f>
        <v>7200</v>
      </c>
      <c r="F126" s="20"/>
      <c r="G126" s="34">
        <v>0.0</v>
      </c>
      <c r="H126" s="17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2.75" customHeight="1">
      <c r="A127" s="40"/>
      <c r="B127" s="46"/>
      <c r="C127" s="46"/>
      <c r="D127" s="46"/>
      <c r="E127" s="54"/>
      <c r="F127" s="17"/>
      <c r="G127" s="54"/>
      <c r="H127" s="17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2.75" customHeight="1">
      <c r="A128" s="40"/>
      <c r="B128" s="46"/>
      <c r="C128" s="46"/>
      <c r="D128" s="46"/>
      <c r="E128" s="54"/>
      <c r="F128" s="17"/>
      <c r="G128" s="54"/>
      <c r="H128" s="17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2.75" customHeight="1">
      <c r="A129" s="40"/>
      <c r="B129" s="41"/>
      <c r="C129" s="41"/>
      <c r="D129" s="41"/>
      <c r="E129" s="41"/>
      <c r="F129" s="41"/>
      <c r="G129" s="41"/>
      <c r="H129" s="41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2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2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2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2.75" customHeight="1">
      <c r="A133" s="40"/>
      <c r="B133" s="42" t="s">
        <v>32</v>
      </c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2.75" customHeight="1">
      <c r="A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2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2.75" customHeight="1">
      <c r="A136" s="40"/>
      <c r="B136" s="12" t="s">
        <v>54</v>
      </c>
      <c r="C136" s="13" t="s">
        <v>34</v>
      </c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2.75" customHeight="1">
      <c r="A137" s="40"/>
      <c r="B137" s="40"/>
      <c r="C137" s="40"/>
      <c r="D137" s="40"/>
      <c r="E137" s="40"/>
      <c r="F137" s="40"/>
      <c r="G137" s="43" t="s">
        <v>35</v>
      </c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2.75" customHeight="1">
      <c r="A138" s="40"/>
      <c r="B138" s="40"/>
      <c r="C138" s="40"/>
      <c r="D138" s="40"/>
      <c r="E138" s="40"/>
      <c r="F138" s="40"/>
      <c r="G138" s="43" t="s">
        <v>36</v>
      </c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2.75" customHeight="1">
      <c r="A139" s="40"/>
      <c r="B139" s="44" t="s">
        <v>37</v>
      </c>
      <c r="C139" s="45" t="str">
        <f>'集計'!$B$2</f>
        <v>#REF!</v>
      </c>
      <c r="D139" s="17"/>
      <c r="E139" s="40"/>
      <c r="F139" s="40"/>
      <c r="G139" s="7" t="s">
        <v>38</v>
      </c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2.75" customHeight="1">
      <c r="A140" s="40"/>
      <c r="B140" s="44" t="s">
        <v>39</v>
      </c>
      <c r="C140" s="16">
        <v>2.0</v>
      </c>
      <c r="D140" s="17"/>
      <c r="E140" s="40"/>
      <c r="F140" s="40"/>
      <c r="G140" s="7" t="s">
        <v>40</v>
      </c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2.75" customHeight="1">
      <c r="A141" s="40"/>
      <c r="B141" s="46"/>
      <c r="C141" s="46"/>
      <c r="D141" s="46"/>
      <c r="E141" s="46"/>
      <c r="F141" s="46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2.75" customHeight="1">
      <c r="A142" s="47"/>
      <c r="B142" s="48" t="s">
        <v>41</v>
      </c>
      <c r="C142" s="49"/>
      <c r="D142" s="50">
        <v>35622.0</v>
      </c>
      <c r="F142" s="51" t="s">
        <v>42</v>
      </c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2.75" customHeight="1">
      <c r="A143" s="47"/>
      <c r="B143" s="17"/>
      <c r="C143" s="26"/>
      <c r="D143" s="17"/>
      <c r="E143" s="17"/>
      <c r="F143" s="26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2.75" customHeight="1">
      <c r="A144" s="40"/>
      <c r="B144" s="40"/>
      <c r="C144" s="40"/>
      <c r="D144" s="52" t="s">
        <v>43</v>
      </c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2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2.75" customHeight="1">
      <c r="A146" s="40"/>
      <c r="B146" s="53" t="s">
        <v>44</v>
      </c>
      <c r="D146" s="53" t="s">
        <v>45</v>
      </c>
      <c r="E146" s="53" t="s">
        <v>46</v>
      </c>
      <c r="G146" s="53" t="s">
        <v>47</v>
      </c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2.75" customHeight="1">
      <c r="A147" s="40"/>
      <c r="B147" s="46" t="s">
        <v>23</v>
      </c>
      <c r="C147" s="46"/>
      <c r="D147" s="13">
        <v>19.0</v>
      </c>
      <c r="E147" s="33">
        <f>IF(C140=1,D147*1620*0.9,IF(C140=2,D147*1820*0.9,D147*2020*0.9))</f>
        <v>31122</v>
      </c>
      <c r="F147" s="17"/>
      <c r="G147" s="34">
        <v>0.0</v>
      </c>
      <c r="H147" s="17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2.75" customHeight="1">
      <c r="A148" s="40"/>
      <c r="B148" s="46" t="s">
        <v>48</v>
      </c>
      <c r="C148" s="46"/>
      <c r="D148" s="13">
        <v>10.0</v>
      </c>
      <c r="E148" s="36">
        <f>D148*500*0.9</f>
        <v>4500</v>
      </c>
      <c r="F148" s="20"/>
      <c r="G148" s="34">
        <v>0.0</v>
      </c>
      <c r="H148" s="17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2.75" customHeight="1">
      <c r="A149" s="40"/>
      <c r="B149" s="46"/>
      <c r="C149" s="46"/>
      <c r="D149" s="46"/>
      <c r="E149" s="54"/>
      <c r="F149" s="17"/>
      <c r="G149" s="54"/>
      <c r="H149" s="17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2.75" customHeight="1">
      <c r="A150" s="40"/>
      <c r="B150" s="46"/>
      <c r="C150" s="46"/>
      <c r="D150" s="46"/>
      <c r="E150" s="54"/>
      <c r="F150" s="17"/>
      <c r="G150" s="54"/>
      <c r="H150" s="17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2.75" customHeight="1">
      <c r="A151" s="40"/>
      <c r="B151" s="41"/>
      <c r="C151" s="41"/>
      <c r="D151" s="41"/>
      <c r="E151" s="41"/>
      <c r="F151" s="41"/>
      <c r="G151" s="41"/>
      <c r="H151" s="41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2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2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2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2.75" customHeight="1">
      <c r="A155" s="40"/>
      <c r="B155" s="42" t="s">
        <v>32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2.75" customHeight="1">
      <c r="A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2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2.75" customHeight="1">
      <c r="A158" s="40"/>
      <c r="B158" s="12" t="s">
        <v>55</v>
      </c>
      <c r="C158" s="13" t="s">
        <v>34</v>
      </c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2.75" customHeight="1">
      <c r="A159" s="40"/>
      <c r="B159" s="40"/>
      <c r="C159" s="40"/>
      <c r="D159" s="40"/>
      <c r="E159" s="40"/>
      <c r="F159" s="40"/>
      <c r="G159" s="43" t="s">
        <v>35</v>
      </c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2.75" customHeight="1">
      <c r="A160" s="40"/>
      <c r="B160" s="40"/>
      <c r="C160" s="40"/>
      <c r="D160" s="40"/>
      <c r="E160" s="40"/>
      <c r="F160" s="40"/>
      <c r="G160" s="43" t="s">
        <v>36</v>
      </c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2.75" customHeight="1">
      <c r="A161" s="40"/>
      <c r="B161" s="44" t="s">
        <v>37</v>
      </c>
      <c r="C161" s="45" t="str">
        <f>'集計'!$B$2</f>
        <v>#REF!</v>
      </c>
      <c r="D161" s="17"/>
      <c r="E161" s="40"/>
      <c r="F161" s="40"/>
      <c r="G161" s="7" t="s">
        <v>38</v>
      </c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2.75" customHeight="1">
      <c r="A162" s="40"/>
      <c r="B162" s="44" t="s">
        <v>39</v>
      </c>
      <c r="C162" s="16">
        <v>3.0</v>
      </c>
      <c r="D162" s="17"/>
      <c r="E162" s="40"/>
      <c r="F162" s="40"/>
      <c r="G162" s="7" t="s">
        <v>40</v>
      </c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2.75" customHeight="1">
      <c r="A163" s="40"/>
      <c r="B163" s="46"/>
      <c r="C163" s="46"/>
      <c r="D163" s="46"/>
      <c r="E163" s="46"/>
      <c r="F163" s="46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2.75" customHeight="1">
      <c r="A164" s="47"/>
      <c r="B164" s="48" t="s">
        <v>41</v>
      </c>
      <c r="C164" s="49"/>
      <c r="D164" s="50">
        <v>91728.0</v>
      </c>
      <c r="F164" s="51" t="s">
        <v>42</v>
      </c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2.75" customHeight="1">
      <c r="A165" s="47"/>
      <c r="B165" s="17"/>
      <c r="C165" s="26"/>
      <c r="D165" s="17"/>
      <c r="E165" s="17"/>
      <c r="F165" s="26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2.75" customHeight="1">
      <c r="A166" s="40"/>
      <c r="B166" s="40"/>
      <c r="C166" s="40"/>
      <c r="D166" s="52" t="s">
        <v>43</v>
      </c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2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2.75" customHeight="1">
      <c r="A168" s="40"/>
      <c r="B168" s="46" t="s">
        <v>23</v>
      </c>
      <c r="C168" s="46"/>
      <c r="D168" s="13">
        <v>46.0</v>
      </c>
      <c r="E168" s="33" t="str">
        <f>IF(C161=1,D168*1620*0.9,IF(C161=2,D168*1820*0.9,D168*2020*0.9))</f>
        <v>#REF!</v>
      </c>
      <c r="F168" s="17"/>
      <c r="G168" s="34">
        <v>0.0</v>
      </c>
      <c r="H168" s="17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2.75" customHeight="1">
      <c r="A169" s="40"/>
      <c r="B169" s="46" t="s">
        <v>48</v>
      </c>
      <c r="C169" s="46"/>
      <c r="D169" s="13">
        <v>18.0</v>
      </c>
      <c r="E169" s="36">
        <f>D169*500*0.9</f>
        <v>8100</v>
      </c>
      <c r="F169" s="20"/>
      <c r="G169" s="34">
        <v>0.0</v>
      </c>
      <c r="H169" s="17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2.75" customHeight="1">
      <c r="A170" s="40"/>
      <c r="B170" s="46"/>
      <c r="C170" s="46"/>
      <c r="D170" s="13"/>
      <c r="E170" s="36"/>
      <c r="F170" s="20"/>
      <c r="G170" s="34"/>
      <c r="H170" s="17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2.75" customHeight="1">
      <c r="A171" s="40"/>
      <c r="B171" s="46"/>
      <c r="C171" s="46"/>
      <c r="D171" s="46"/>
      <c r="E171" s="54"/>
      <c r="F171" s="17"/>
      <c r="G171" s="54"/>
      <c r="H171" s="17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2.75" customHeight="1">
      <c r="A172" s="40"/>
      <c r="B172" s="46"/>
      <c r="C172" s="46"/>
      <c r="D172" s="46"/>
      <c r="E172" s="54"/>
      <c r="F172" s="17"/>
      <c r="G172" s="54"/>
      <c r="H172" s="17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2.75" customHeight="1">
      <c r="A173" s="40"/>
      <c r="B173" s="41"/>
      <c r="C173" s="41"/>
      <c r="D173" s="41"/>
      <c r="E173" s="41"/>
      <c r="F173" s="41"/>
      <c r="G173" s="41"/>
      <c r="H173" s="41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2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2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2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2.75" customHeight="1">
      <c r="A177" s="40"/>
      <c r="B177" s="42" t="s">
        <v>32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2.75" customHeight="1">
      <c r="A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2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2.75" customHeight="1">
      <c r="A180" s="40"/>
      <c r="B180" s="12" t="s">
        <v>56</v>
      </c>
      <c r="C180" s="13" t="s">
        <v>34</v>
      </c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2.75" customHeight="1">
      <c r="A181" s="40"/>
      <c r="B181" s="40"/>
      <c r="C181" s="40"/>
      <c r="D181" s="40"/>
      <c r="E181" s="40"/>
      <c r="F181" s="40"/>
      <c r="G181" s="43" t="s">
        <v>35</v>
      </c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2.75" customHeight="1">
      <c r="A182" s="40"/>
      <c r="B182" s="40"/>
      <c r="C182" s="40"/>
      <c r="D182" s="40"/>
      <c r="E182" s="40"/>
      <c r="F182" s="40"/>
      <c r="G182" s="43" t="s">
        <v>36</v>
      </c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2.75" customHeight="1">
      <c r="A183" s="40"/>
      <c r="B183" s="44" t="s">
        <v>37</v>
      </c>
      <c r="C183" s="45" t="str">
        <f>'集計'!$B$2</f>
        <v>#REF!</v>
      </c>
      <c r="D183" s="17"/>
      <c r="E183" s="40"/>
      <c r="F183" s="40"/>
      <c r="G183" s="7" t="s">
        <v>38</v>
      </c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2.75" customHeight="1">
      <c r="A184" s="40"/>
      <c r="B184" s="44" t="s">
        <v>39</v>
      </c>
      <c r="C184" s="16">
        <v>3.0</v>
      </c>
      <c r="D184" s="17"/>
      <c r="E184" s="40"/>
      <c r="F184" s="40"/>
      <c r="G184" s="7" t="s">
        <v>40</v>
      </c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2.75" customHeight="1">
      <c r="A185" s="40"/>
      <c r="B185" s="46"/>
      <c r="C185" s="46"/>
      <c r="D185" s="46"/>
      <c r="E185" s="46"/>
      <c r="F185" s="46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2.75" customHeight="1">
      <c r="A186" s="47"/>
      <c r="B186" s="48" t="s">
        <v>41</v>
      </c>
      <c r="C186" s="49"/>
      <c r="D186" s="50">
        <v>54486.0</v>
      </c>
      <c r="F186" s="51" t="s">
        <v>42</v>
      </c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2.75" customHeight="1">
      <c r="A187" s="47"/>
      <c r="B187" s="17"/>
      <c r="C187" s="26"/>
      <c r="D187" s="17"/>
      <c r="E187" s="17"/>
      <c r="F187" s="26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2.75" customHeight="1">
      <c r="A188" s="40"/>
      <c r="B188" s="40"/>
      <c r="C188" s="40"/>
      <c r="D188" s="52" t="s">
        <v>43</v>
      </c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2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2.75" customHeight="1">
      <c r="A190" s="40"/>
      <c r="B190" s="53" t="s">
        <v>44</v>
      </c>
      <c r="D190" s="53" t="s">
        <v>45</v>
      </c>
      <c r="E190" s="53" t="s">
        <v>46</v>
      </c>
      <c r="G190" s="53" t="s">
        <v>47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2.75" customHeight="1">
      <c r="A191" s="40"/>
      <c r="B191" s="46" t="s">
        <v>23</v>
      </c>
      <c r="C191" s="46"/>
      <c r="D191" s="13">
        <v>27.0</v>
      </c>
      <c r="E191" s="33">
        <f>IF(C184=1,D191*1620*0.9,IF(C184=2,D191*1820*0.9,D191*2020*0.9))</f>
        <v>49086</v>
      </c>
      <c r="F191" s="17"/>
      <c r="G191" s="34">
        <v>0.0</v>
      </c>
      <c r="H191" s="17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2.75" customHeight="1">
      <c r="A192" s="40"/>
      <c r="B192" s="46" t="s">
        <v>48</v>
      </c>
      <c r="C192" s="46"/>
      <c r="D192" s="13">
        <v>12.0</v>
      </c>
      <c r="E192" s="36">
        <f>D192*500*0.9</f>
        <v>5400</v>
      </c>
      <c r="F192" s="20"/>
      <c r="G192" s="34">
        <v>0.0</v>
      </c>
      <c r="H192" s="17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2.75" customHeight="1">
      <c r="A193" s="40"/>
      <c r="B193" s="46"/>
      <c r="C193" s="46"/>
      <c r="D193" s="46"/>
      <c r="E193" s="54"/>
      <c r="F193" s="17"/>
      <c r="G193" s="54"/>
      <c r="H193" s="17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2.75" customHeight="1">
      <c r="A194" s="40"/>
      <c r="B194" s="46"/>
      <c r="C194" s="46"/>
      <c r="D194" s="46"/>
      <c r="E194" s="54"/>
      <c r="F194" s="17"/>
      <c r="G194" s="54"/>
      <c r="H194" s="17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2.75" customHeight="1"/>
    <row r="196" ht="12.75" customHeight="1"/>
    <row r="197" ht="12.75" customHeight="1"/>
    <row r="198" ht="12.75" customHeight="1"/>
    <row r="199" ht="12.75" customHeight="1">
      <c r="A199" s="40"/>
      <c r="B199" s="42" t="s">
        <v>32</v>
      </c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2.75" customHeight="1">
      <c r="A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2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2.75" customHeight="1">
      <c r="A202" s="40"/>
      <c r="B202" s="12" t="s">
        <v>57</v>
      </c>
      <c r="C202" s="17"/>
      <c r="D202" s="40" t="s">
        <v>34</v>
      </c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2.75" customHeight="1">
      <c r="A203" s="40"/>
      <c r="B203" s="40"/>
      <c r="C203" s="40"/>
      <c r="D203" s="40"/>
      <c r="E203" s="40"/>
      <c r="F203" s="40"/>
      <c r="G203" s="43" t="s">
        <v>35</v>
      </c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2.75" customHeight="1">
      <c r="A204" s="40"/>
      <c r="B204" s="40"/>
      <c r="C204" s="40"/>
      <c r="D204" s="40"/>
      <c r="E204" s="40"/>
      <c r="F204" s="40"/>
      <c r="G204" s="43" t="s">
        <v>36</v>
      </c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2.75" customHeight="1">
      <c r="A205" s="40"/>
      <c r="B205" s="44" t="s">
        <v>37</v>
      </c>
      <c r="C205" s="45" t="str">
        <f>'集計'!$B$2</f>
        <v>#REF!</v>
      </c>
      <c r="D205" s="17"/>
      <c r="E205" s="40"/>
      <c r="F205" s="40"/>
      <c r="G205" s="7" t="s">
        <v>38</v>
      </c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2.75" customHeight="1">
      <c r="A206" s="40"/>
      <c r="B206" s="44" t="s">
        <v>39</v>
      </c>
      <c r="C206" s="16">
        <v>3.0</v>
      </c>
      <c r="D206" s="17"/>
      <c r="E206" s="40"/>
      <c r="F206" s="40"/>
      <c r="G206" s="7" t="s">
        <v>40</v>
      </c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2.75" customHeight="1">
      <c r="A207" s="40"/>
      <c r="B207" s="46"/>
      <c r="C207" s="46"/>
      <c r="D207" s="46"/>
      <c r="E207" s="46"/>
      <c r="F207" s="46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2.75" customHeight="1">
      <c r="A208" s="47"/>
      <c r="B208" s="48" t="s">
        <v>41</v>
      </c>
      <c r="C208" s="49"/>
      <c r="D208" s="50">
        <v>34488.0</v>
      </c>
      <c r="F208" s="51" t="s">
        <v>42</v>
      </c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2.75" customHeight="1">
      <c r="A209" s="47"/>
      <c r="B209" s="17"/>
      <c r="C209" s="26"/>
      <c r="D209" s="17"/>
      <c r="E209" s="17"/>
      <c r="F209" s="26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2.75" customHeight="1">
      <c r="A210" s="40"/>
      <c r="B210" s="40"/>
      <c r="C210" s="40"/>
      <c r="D210" s="52" t="s">
        <v>43</v>
      </c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2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2.75" customHeight="1">
      <c r="A212" s="40"/>
      <c r="B212" s="53" t="s">
        <v>44</v>
      </c>
      <c r="D212" s="53" t="s">
        <v>45</v>
      </c>
      <c r="E212" s="53" t="s">
        <v>46</v>
      </c>
      <c r="G212" s="53" t="s">
        <v>47</v>
      </c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2.75" customHeight="1">
      <c r="A213" s="40"/>
      <c r="B213" s="46" t="s">
        <v>23</v>
      </c>
      <c r="C213" s="46"/>
      <c r="D213" s="13">
        <v>16.0</v>
      </c>
      <c r="E213" s="33">
        <f>IF(C206=1,D213*1620*0.9,IF(C206=2,D213*1820*0.9,D213*2020*0.9))</f>
        <v>29088</v>
      </c>
      <c r="F213" s="17"/>
      <c r="G213" s="34">
        <v>0.0</v>
      </c>
      <c r="H213" s="17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2.75" customHeight="1">
      <c r="A214" s="40"/>
      <c r="B214" s="46" t="s">
        <v>48</v>
      </c>
      <c r="C214" s="46"/>
      <c r="D214" s="13">
        <v>12.0</v>
      </c>
      <c r="E214" s="36">
        <f>D214*500*0.9</f>
        <v>5400</v>
      </c>
      <c r="F214" s="20"/>
      <c r="G214" s="34">
        <v>0.0</v>
      </c>
      <c r="H214" s="17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2.75" customHeight="1">
      <c r="A215" s="40"/>
      <c r="B215" s="46"/>
      <c r="C215" s="46"/>
      <c r="D215" s="46"/>
      <c r="E215" s="54"/>
      <c r="F215" s="17"/>
      <c r="G215" s="54"/>
      <c r="H215" s="17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2.75" customHeight="1">
      <c r="A216" s="40"/>
      <c r="B216" s="46"/>
      <c r="C216" s="46"/>
      <c r="D216" s="46"/>
      <c r="E216" s="54"/>
      <c r="F216" s="17"/>
      <c r="G216" s="54"/>
      <c r="H216" s="17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2.75" customHeight="1"/>
    <row r="218" ht="12.75" customHeight="1"/>
    <row r="219" ht="12.75" customHeight="1"/>
    <row r="220" ht="12.75" customHeight="1"/>
    <row r="221" ht="12.75" customHeight="1">
      <c r="A221" s="40"/>
      <c r="B221" s="42" t="s">
        <v>32</v>
      </c>
    </row>
    <row r="222" ht="12.75" customHeight="1">
      <c r="A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</row>
    <row r="224" ht="12.75" customHeight="1">
      <c r="A224" s="40"/>
      <c r="B224" s="12" t="s">
        <v>58</v>
      </c>
      <c r="C224" s="13" t="s">
        <v>34</v>
      </c>
      <c r="D224" s="40"/>
      <c r="E224" s="40"/>
      <c r="F224" s="40"/>
      <c r="G224" s="40"/>
      <c r="H224" s="40"/>
    </row>
    <row r="225" ht="12.75" customHeight="1">
      <c r="A225" s="40"/>
      <c r="B225" s="40"/>
      <c r="C225" s="40"/>
      <c r="D225" s="40"/>
      <c r="E225" s="40"/>
      <c r="F225" s="40"/>
      <c r="G225" s="43" t="s">
        <v>35</v>
      </c>
      <c r="H225" s="40"/>
    </row>
    <row r="226" ht="12.75" customHeight="1">
      <c r="A226" s="40"/>
      <c r="B226" s="40"/>
      <c r="C226" s="40"/>
      <c r="D226" s="40"/>
      <c r="E226" s="40"/>
      <c r="F226" s="40"/>
      <c r="G226" s="43" t="s">
        <v>36</v>
      </c>
      <c r="H226" s="40"/>
    </row>
    <row r="227" ht="12.75" customHeight="1">
      <c r="A227" s="40"/>
      <c r="B227" s="44" t="s">
        <v>37</v>
      </c>
      <c r="C227" s="45" t="str">
        <f>'集計'!$B$2</f>
        <v>#REF!</v>
      </c>
      <c r="D227" s="17"/>
      <c r="E227" s="40"/>
      <c r="F227" s="40"/>
      <c r="G227" s="7" t="s">
        <v>38</v>
      </c>
    </row>
    <row r="228" ht="12.75" customHeight="1">
      <c r="A228" s="40"/>
      <c r="B228" s="44" t="s">
        <v>39</v>
      </c>
      <c r="C228" s="16">
        <v>1.0</v>
      </c>
      <c r="D228" s="17"/>
      <c r="E228" s="40"/>
      <c r="F228" s="40"/>
      <c r="G228" s="7" t="s">
        <v>40</v>
      </c>
    </row>
    <row r="229" ht="12.75" customHeight="1">
      <c r="A229" s="40"/>
      <c r="B229" s="46"/>
      <c r="C229" s="46"/>
      <c r="D229" s="46"/>
      <c r="E229" s="46"/>
      <c r="F229" s="46"/>
      <c r="G229" s="40"/>
      <c r="H229" s="40"/>
    </row>
    <row r="230" ht="12.75" customHeight="1">
      <c r="A230" s="47"/>
      <c r="B230" s="48" t="s">
        <v>41</v>
      </c>
      <c r="C230" s="49"/>
      <c r="D230" s="50">
        <v>97938.0</v>
      </c>
      <c r="F230" s="51" t="s">
        <v>42</v>
      </c>
      <c r="G230" s="40"/>
      <c r="H230" s="40"/>
    </row>
    <row r="231" ht="12.75" customHeight="1">
      <c r="A231" s="47"/>
      <c r="B231" s="17"/>
      <c r="C231" s="26"/>
      <c r="D231" s="17"/>
      <c r="E231" s="17"/>
      <c r="F231" s="26"/>
      <c r="G231" s="40"/>
      <c r="H231" s="40"/>
    </row>
    <row r="232" ht="12.75" customHeight="1">
      <c r="A232" s="40"/>
      <c r="B232" s="40"/>
      <c r="C232" s="40"/>
      <c r="D232" s="52" t="s">
        <v>43</v>
      </c>
      <c r="E232" s="40"/>
      <c r="F232" s="40"/>
      <c r="G232" s="40"/>
      <c r="H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</row>
    <row r="234" ht="12.75" customHeight="1">
      <c r="A234" s="40"/>
      <c r="B234" s="53" t="s">
        <v>44</v>
      </c>
      <c r="D234" s="53" t="s">
        <v>45</v>
      </c>
      <c r="E234" s="53" t="s">
        <v>46</v>
      </c>
      <c r="G234" s="53" t="s">
        <v>47</v>
      </c>
    </row>
    <row r="235" ht="12.75" customHeight="1">
      <c r="A235" s="40"/>
      <c r="B235" s="46" t="s">
        <v>23</v>
      </c>
      <c r="C235" s="46"/>
      <c r="D235" s="13">
        <v>61.0</v>
      </c>
      <c r="E235" s="33">
        <f>IF(C228=1,D235*1620*0.9,IF(C228=2,D235*1820*0.9,D235*2020*0.9))</f>
        <v>88938</v>
      </c>
      <c r="F235" s="17"/>
      <c r="G235" s="34">
        <v>0.0</v>
      </c>
      <c r="H235" s="17"/>
    </row>
    <row r="236" ht="12.75" customHeight="1">
      <c r="A236" s="40"/>
      <c r="B236" s="46" t="s">
        <v>48</v>
      </c>
      <c r="C236" s="46"/>
      <c r="D236" s="13">
        <v>20.0</v>
      </c>
      <c r="E236" s="36">
        <f>D236*500*0.9</f>
        <v>9000</v>
      </c>
      <c r="F236" s="20"/>
      <c r="G236" s="34">
        <v>0.0</v>
      </c>
      <c r="H236" s="17"/>
    </row>
    <row r="237" ht="12.75" customHeight="1">
      <c r="A237" s="40"/>
      <c r="B237" s="46"/>
      <c r="C237" s="46"/>
      <c r="D237" s="46"/>
      <c r="E237" s="54"/>
      <c r="F237" s="17"/>
      <c r="G237" s="54"/>
      <c r="H237" s="17"/>
    </row>
    <row r="238" ht="12.75" customHeight="1">
      <c r="A238" s="40"/>
      <c r="B238" s="46"/>
      <c r="C238" s="46"/>
      <c r="D238" s="46"/>
      <c r="E238" s="54"/>
      <c r="F238" s="17"/>
      <c r="G238" s="54"/>
      <c r="H238" s="17"/>
    </row>
    <row r="239" ht="12.75" customHeight="1"/>
    <row r="240" ht="12.75" customHeight="1"/>
    <row r="241" ht="12.75" customHeight="1"/>
    <row r="242" ht="12.75" customHeight="1"/>
    <row r="243" ht="12.75" customHeight="1">
      <c r="A243" s="40"/>
      <c r="B243" s="42" t="s">
        <v>32</v>
      </c>
    </row>
    <row r="244" ht="12.75" customHeight="1">
      <c r="A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</row>
    <row r="246" ht="12.75" customHeight="1">
      <c r="A246" s="40"/>
      <c r="B246" s="12" t="s">
        <v>59</v>
      </c>
      <c r="C246" s="17"/>
      <c r="D246" s="40" t="s">
        <v>34</v>
      </c>
      <c r="E246" s="40"/>
      <c r="F246" s="40"/>
      <c r="G246" s="40"/>
      <c r="H246" s="40"/>
    </row>
    <row r="247" ht="12.75" customHeight="1">
      <c r="A247" s="40"/>
      <c r="B247" s="40"/>
      <c r="C247" s="40"/>
      <c r="D247" s="40"/>
      <c r="E247" s="40"/>
      <c r="F247" s="40"/>
      <c r="G247" s="43" t="s">
        <v>35</v>
      </c>
      <c r="H247" s="40"/>
    </row>
    <row r="248" ht="12.75" customHeight="1">
      <c r="A248" s="40"/>
      <c r="B248" s="40"/>
      <c r="C248" s="40"/>
      <c r="D248" s="40"/>
      <c r="E248" s="40"/>
      <c r="F248" s="40"/>
      <c r="G248" s="43" t="s">
        <v>36</v>
      </c>
      <c r="H248" s="40"/>
    </row>
    <row r="249" ht="12.75" customHeight="1">
      <c r="A249" s="40"/>
      <c r="B249" s="44" t="s">
        <v>37</v>
      </c>
      <c r="C249" s="45" t="str">
        <f>'集計'!$B$2</f>
        <v>#REF!</v>
      </c>
      <c r="D249" s="17"/>
      <c r="E249" s="40"/>
      <c r="F249" s="40"/>
      <c r="G249" s="7" t="s">
        <v>38</v>
      </c>
    </row>
    <row r="250" ht="12.75" customHeight="1">
      <c r="A250" s="40"/>
      <c r="B250" s="44" t="s">
        <v>39</v>
      </c>
      <c r="C250" s="16">
        <v>3.0</v>
      </c>
      <c r="D250" s="17"/>
      <c r="E250" s="40"/>
      <c r="F250" s="40"/>
      <c r="G250" s="7" t="s">
        <v>40</v>
      </c>
    </row>
    <row r="251" ht="12.75" customHeight="1">
      <c r="A251" s="40"/>
      <c r="B251" s="46"/>
      <c r="C251" s="46"/>
      <c r="D251" s="46"/>
      <c r="E251" s="46"/>
      <c r="F251" s="46"/>
      <c r="G251" s="40"/>
      <c r="H251" s="40"/>
    </row>
    <row r="252" ht="12.75" customHeight="1">
      <c r="A252" s="47"/>
      <c r="B252" s="48" t="s">
        <v>41</v>
      </c>
      <c r="C252" s="49"/>
      <c r="D252" s="50">
        <v>98082.0</v>
      </c>
      <c r="F252" s="51" t="s">
        <v>42</v>
      </c>
      <c r="G252" s="40"/>
      <c r="H252" s="40"/>
    </row>
    <row r="253" ht="12.75" customHeight="1">
      <c r="A253" s="47"/>
      <c r="B253" s="17"/>
      <c r="C253" s="26"/>
      <c r="D253" s="17"/>
      <c r="E253" s="17"/>
      <c r="F253" s="26"/>
      <c r="G253" s="40"/>
      <c r="H253" s="40"/>
    </row>
    <row r="254" ht="12.75" customHeight="1">
      <c r="A254" s="40"/>
      <c r="B254" s="40"/>
      <c r="C254" s="40"/>
      <c r="D254" s="52" t="s">
        <v>43</v>
      </c>
      <c r="E254" s="40"/>
      <c r="F254" s="40"/>
      <c r="G254" s="40"/>
      <c r="H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</row>
    <row r="256" ht="12.75" customHeight="1">
      <c r="A256" s="40"/>
      <c r="B256" s="53" t="s">
        <v>44</v>
      </c>
      <c r="D256" s="53" t="s">
        <v>45</v>
      </c>
      <c r="E256" s="53" t="s">
        <v>46</v>
      </c>
      <c r="G256" s="53" t="s">
        <v>47</v>
      </c>
    </row>
    <row r="257" ht="12.75" customHeight="1">
      <c r="A257" s="40"/>
      <c r="B257" s="46" t="s">
        <v>23</v>
      </c>
      <c r="C257" s="46"/>
      <c r="D257" s="13">
        <v>49.0</v>
      </c>
      <c r="E257" s="33">
        <f>IF(C250=1,D257*1620*0.9,IF(C250=2,D257*1820*0.9,D257*2020*0.9))</f>
        <v>89082</v>
      </c>
      <c r="F257" s="17"/>
      <c r="G257" s="34">
        <v>0.0</v>
      </c>
      <c r="H257" s="17"/>
    </row>
    <row r="258" ht="12.75" customHeight="1">
      <c r="A258" s="40"/>
      <c r="B258" s="46" t="s">
        <v>48</v>
      </c>
      <c r="C258" s="46"/>
      <c r="D258" s="13">
        <v>20.0</v>
      </c>
      <c r="E258" s="36">
        <f>D258*500*0.9</f>
        <v>9000</v>
      </c>
      <c r="F258" s="20"/>
      <c r="G258" s="34">
        <v>0.0</v>
      </c>
      <c r="H258" s="17"/>
    </row>
    <row r="259" ht="12.75" customHeight="1">
      <c r="A259" s="40"/>
      <c r="B259" s="46"/>
      <c r="C259" s="46"/>
      <c r="D259" s="46"/>
      <c r="E259" s="54"/>
      <c r="F259" s="17"/>
      <c r="G259" s="54"/>
      <c r="H259" s="17"/>
    </row>
    <row r="260" ht="12.75" customHeight="1">
      <c r="A260" s="40"/>
      <c r="B260" s="46"/>
      <c r="C260" s="46"/>
      <c r="D260" s="46"/>
      <c r="E260" s="54"/>
      <c r="F260" s="17"/>
      <c r="G260" s="54"/>
      <c r="H260" s="17"/>
    </row>
    <row r="261" ht="12.75" customHeight="1"/>
    <row r="262" ht="12.75" customHeight="1"/>
    <row r="263" ht="12.75" customHeight="1"/>
    <row r="264" ht="12.75" customHeight="1"/>
    <row r="265" ht="12.75" customHeight="1">
      <c r="A265" s="40"/>
      <c r="B265" s="42" t="s">
        <v>32</v>
      </c>
    </row>
    <row r="266" ht="12.75" customHeight="1">
      <c r="A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</row>
    <row r="268" ht="12.75" customHeight="1">
      <c r="A268" s="40"/>
      <c r="B268" s="12" t="s">
        <v>60</v>
      </c>
      <c r="C268" s="17"/>
      <c r="D268" s="40"/>
      <c r="E268" s="40"/>
      <c r="F268" s="40"/>
      <c r="G268" s="40"/>
      <c r="H268" s="40"/>
    </row>
    <row r="269" ht="12.75" customHeight="1">
      <c r="A269" s="40"/>
      <c r="B269" s="40"/>
      <c r="C269" s="40"/>
      <c r="D269" s="40"/>
      <c r="E269" s="40"/>
      <c r="F269" s="40"/>
      <c r="G269" s="43" t="s">
        <v>35</v>
      </c>
      <c r="H269" s="40"/>
    </row>
    <row r="270" ht="12.75" customHeight="1">
      <c r="A270" s="40"/>
      <c r="B270" s="40"/>
      <c r="C270" s="40"/>
      <c r="D270" s="40"/>
      <c r="E270" s="40"/>
      <c r="F270" s="40"/>
      <c r="G270" s="43" t="s">
        <v>36</v>
      </c>
      <c r="H270" s="40"/>
    </row>
    <row r="271" ht="12.75" customHeight="1">
      <c r="A271" s="40"/>
      <c r="B271" s="44" t="s">
        <v>37</v>
      </c>
      <c r="C271" s="45" t="str">
        <f>'集計'!$B$2</f>
        <v>#REF!</v>
      </c>
      <c r="D271" s="17"/>
      <c r="E271" s="40"/>
      <c r="F271" s="40"/>
      <c r="G271" s="7" t="s">
        <v>38</v>
      </c>
    </row>
    <row r="272" ht="12.75" customHeight="1">
      <c r="A272" s="40"/>
      <c r="B272" s="44" t="s">
        <v>39</v>
      </c>
      <c r="C272" s="16">
        <v>3.0</v>
      </c>
      <c r="D272" s="17"/>
      <c r="E272" s="40"/>
      <c r="F272" s="40"/>
      <c r="G272" s="7" t="s">
        <v>40</v>
      </c>
    </row>
    <row r="273" ht="12.75" customHeight="1">
      <c r="A273" s="40"/>
      <c r="B273" s="46"/>
      <c r="C273" s="46"/>
      <c r="D273" s="46"/>
      <c r="E273" s="46"/>
      <c r="F273" s="46"/>
      <c r="G273" s="40"/>
      <c r="H273" s="40"/>
    </row>
    <row r="274" ht="12.75" customHeight="1">
      <c r="A274" s="47"/>
      <c r="B274" s="48" t="s">
        <v>41</v>
      </c>
      <c r="C274" s="49"/>
      <c r="D274" s="50">
        <v>72648.0</v>
      </c>
      <c r="F274" s="51" t="s">
        <v>42</v>
      </c>
      <c r="G274" s="40"/>
      <c r="H274" s="40"/>
    </row>
    <row r="275" ht="12.75" customHeight="1">
      <c r="A275" s="47"/>
      <c r="B275" s="17"/>
      <c r="C275" s="26"/>
      <c r="D275" s="17"/>
      <c r="E275" s="17"/>
      <c r="F275" s="26"/>
      <c r="G275" s="40"/>
      <c r="H275" s="40"/>
    </row>
    <row r="276" ht="12.75" customHeight="1">
      <c r="A276" s="40"/>
      <c r="B276" s="40"/>
      <c r="C276" s="40"/>
      <c r="D276" s="52" t="s">
        <v>43</v>
      </c>
      <c r="E276" s="40"/>
      <c r="F276" s="40"/>
      <c r="G276" s="40"/>
      <c r="H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</row>
    <row r="278" ht="12.75" customHeight="1">
      <c r="A278" s="40"/>
      <c r="B278" s="53" t="s">
        <v>44</v>
      </c>
      <c r="D278" s="53" t="s">
        <v>45</v>
      </c>
      <c r="E278" s="53" t="s">
        <v>46</v>
      </c>
      <c r="G278" s="53" t="s">
        <v>47</v>
      </c>
    </row>
    <row r="279" ht="12.75" customHeight="1">
      <c r="A279" s="40"/>
      <c r="B279" s="46" t="s">
        <v>23</v>
      </c>
      <c r="C279" s="46"/>
      <c r="D279" s="13">
        <v>36.0</v>
      </c>
      <c r="E279" s="33">
        <f>IF(C272=1,D279*1620*0.9,IF(C272=2,D279*1820*0.9,D279*2020*0.9))</f>
        <v>65448</v>
      </c>
      <c r="F279" s="17"/>
      <c r="G279" s="34">
        <v>0.0</v>
      </c>
      <c r="H279" s="17"/>
    </row>
    <row r="280" ht="12.75" customHeight="1">
      <c r="A280" s="40"/>
      <c r="B280" s="46" t="s">
        <v>48</v>
      </c>
      <c r="C280" s="46"/>
      <c r="D280" s="13">
        <v>16.0</v>
      </c>
      <c r="E280" s="36">
        <f>D280*500*0.9</f>
        <v>7200</v>
      </c>
      <c r="F280" s="20"/>
      <c r="G280" s="34">
        <v>0.0</v>
      </c>
      <c r="H280" s="17"/>
    </row>
    <row r="281" ht="12.75" customHeight="1">
      <c r="A281" s="40"/>
      <c r="B281" s="46"/>
      <c r="C281" s="46"/>
      <c r="D281" s="46"/>
      <c r="E281" s="54"/>
      <c r="F281" s="17"/>
      <c r="G281" s="54"/>
      <c r="H281" s="17"/>
    </row>
    <row r="282" ht="12.75" customHeight="1">
      <c r="A282" s="40"/>
      <c r="B282" s="46"/>
      <c r="C282" s="46"/>
      <c r="D282" s="46"/>
      <c r="E282" s="54"/>
      <c r="F282" s="17"/>
      <c r="G282" s="54"/>
      <c r="H282" s="17"/>
    </row>
    <row r="283" ht="12.75" customHeight="1"/>
    <row r="284" ht="12.75" customHeight="1"/>
    <row r="285" ht="12.75" customHeight="1"/>
    <row r="286" ht="12.75" customHeight="1">
      <c r="B286" s="42" t="s">
        <v>32</v>
      </c>
    </row>
    <row r="287" ht="12.75" customHeight="1"/>
    <row r="288" ht="12.75" customHeight="1">
      <c r="B288" s="40"/>
      <c r="C288" s="40"/>
      <c r="D288" s="40"/>
      <c r="E288" s="40"/>
      <c r="F288" s="40"/>
      <c r="G288" s="40"/>
      <c r="H288" s="40"/>
      <c r="J288" s="40"/>
      <c r="K288" s="40"/>
      <c r="L288" s="40"/>
      <c r="M288" s="40"/>
      <c r="N288" s="40"/>
      <c r="O288" s="40"/>
      <c r="P288" s="40"/>
    </row>
    <row r="289" ht="12.75" customHeight="1">
      <c r="B289" s="12" t="s">
        <v>61</v>
      </c>
      <c r="C289" s="17"/>
      <c r="D289" s="40"/>
      <c r="E289" s="40"/>
      <c r="F289" s="40"/>
      <c r="G289" s="40"/>
      <c r="H289" s="40"/>
    </row>
    <row r="290" ht="12.75" customHeight="1">
      <c r="B290" s="40"/>
      <c r="C290" s="40"/>
      <c r="D290" s="40"/>
      <c r="E290" s="40"/>
      <c r="F290" s="40"/>
      <c r="G290" s="43" t="s">
        <v>35</v>
      </c>
      <c r="H290" s="40"/>
    </row>
    <row r="291" ht="12.75" customHeight="1">
      <c r="B291" s="40"/>
      <c r="C291" s="40"/>
      <c r="D291" s="40"/>
      <c r="E291" s="40"/>
      <c r="F291" s="40"/>
      <c r="G291" s="43" t="s">
        <v>36</v>
      </c>
      <c r="H291" s="40"/>
    </row>
    <row r="292" ht="12.75" customHeight="1">
      <c r="B292" s="44" t="s">
        <v>37</v>
      </c>
      <c r="C292" s="45" t="str">
        <f>'集計'!$B$2</f>
        <v>#REF!</v>
      </c>
      <c r="D292" s="17"/>
      <c r="E292" s="40"/>
      <c r="F292" s="40"/>
      <c r="G292" s="7" t="s">
        <v>38</v>
      </c>
    </row>
    <row r="293" ht="12.75" customHeight="1">
      <c r="B293" s="44" t="s">
        <v>39</v>
      </c>
      <c r="C293" s="16">
        <v>3.0</v>
      </c>
      <c r="D293" s="17"/>
      <c r="E293" s="40"/>
      <c r="F293" s="40"/>
      <c r="G293" s="7" t="s">
        <v>40</v>
      </c>
    </row>
    <row r="294" ht="12.75" customHeight="1">
      <c r="B294" s="46"/>
      <c r="C294" s="46"/>
      <c r="D294" s="46"/>
      <c r="E294" s="46"/>
      <c r="F294" s="46"/>
      <c r="G294" s="40"/>
      <c r="H294" s="40"/>
    </row>
    <row r="295" ht="12.75" customHeight="1">
      <c r="B295" s="48" t="s">
        <v>41</v>
      </c>
      <c r="C295" s="49"/>
      <c r="D295" s="50">
        <v>40860.0</v>
      </c>
      <c r="F295" s="51" t="s">
        <v>42</v>
      </c>
      <c r="G295" s="40"/>
      <c r="H295" s="40"/>
    </row>
    <row r="296" ht="12.75" customHeight="1">
      <c r="B296" s="17"/>
      <c r="C296" s="26"/>
      <c r="D296" s="17"/>
      <c r="E296" s="17"/>
      <c r="F296" s="26"/>
      <c r="G296" s="40"/>
      <c r="H296" s="40"/>
    </row>
    <row r="297" ht="12.75" customHeight="1">
      <c r="B297" s="40"/>
      <c r="C297" s="40"/>
      <c r="D297" s="52" t="s">
        <v>43</v>
      </c>
      <c r="E297" s="40"/>
      <c r="F297" s="40"/>
      <c r="G297" s="40"/>
      <c r="H297" s="40"/>
    </row>
    <row r="298" ht="12.75" customHeight="1">
      <c r="B298" s="40"/>
      <c r="C298" s="40"/>
      <c r="D298" s="40"/>
      <c r="E298" s="40"/>
      <c r="F298" s="40"/>
      <c r="G298" s="40"/>
      <c r="H298" s="40"/>
    </row>
    <row r="299" ht="12.75" customHeight="1">
      <c r="B299" s="53" t="s">
        <v>44</v>
      </c>
      <c r="D299" s="53" t="s">
        <v>45</v>
      </c>
      <c r="E299" s="53" t="s">
        <v>46</v>
      </c>
      <c r="G299" s="53" t="s">
        <v>47</v>
      </c>
    </row>
    <row r="300" ht="12.75" customHeight="1">
      <c r="B300" s="46" t="s">
        <v>23</v>
      </c>
      <c r="C300" s="46"/>
      <c r="D300" s="13">
        <v>20.0</v>
      </c>
      <c r="E300" s="33">
        <f>IF(C293=1,D300*1620*0.9,IF(C293=2,D300*1820*0.9,D300*2020*0.9))</f>
        <v>36360</v>
      </c>
      <c r="F300" s="17"/>
      <c r="G300" s="34">
        <v>0.0</v>
      </c>
      <c r="H300" s="17"/>
    </row>
    <row r="301" ht="12.75" customHeight="1">
      <c r="B301" s="46" t="s">
        <v>48</v>
      </c>
      <c r="C301" s="46"/>
      <c r="D301" s="13">
        <v>10.0</v>
      </c>
      <c r="E301" s="36">
        <f>D301*500*0.9</f>
        <v>4500</v>
      </c>
      <c r="F301" s="20"/>
      <c r="G301" s="34">
        <v>0.0</v>
      </c>
      <c r="H301" s="17"/>
    </row>
    <row r="302" ht="12.75" customHeight="1">
      <c r="B302" s="46"/>
      <c r="C302" s="46"/>
      <c r="D302" s="46"/>
      <c r="E302" s="54"/>
      <c r="F302" s="17"/>
      <c r="G302" s="54"/>
      <c r="H302" s="17"/>
    </row>
    <row r="303" ht="12.75" customHeight="1">
      <c r="B303" s="46"/>
      <c r="C303" s="46"/>
      <c r="D303" s="46"/>
      <c r="E303" s="54"/>
      <c r="F303" s="17"/>
      <c r="G303" s="54"/>
      <c r="H303" s="17"/>
    </row>
    <row r="304" ht="12.75" customHeight="1"/>
    <row r="305" ht="12.75" customHeight="1"/>
    <row r="306" ht="12.75" customHeight="1"/>
    <row r="307" ht="12.75" customHeight="1"/>
    <row r="308" ht="12.75" customHeight="1">
      <c r="B308" s="42" t="s">
        <v>32</v>
      </c>
    </row>
    <row r="309" ht="12.75" customHeight="1"/>
    <row r="310" ht="12.75" customHeight="1">
      <c r="B310" s="40"/>
      <c r="C310" s="40"/>
      <c r="D310" s="40"/>
      <c r="E310" s="40"/>
      <c r="F310" s="40"/>
      <c r="G310" s="40"/>
      <c r="H310" s="40"/>
    </row>
    <row r="311" ht="12.75" customHeight="1">
      <c r="B311" s="12" t="s">
        <v>62</v>
      </c>
      <c r="C311" s="17"/>
      <c r="D311" s="40"/>
      <c r="E311" s="40"/>
      <c r="F311" s="40"/>
      <c r="G311" s="40"/>
      <c r="H311" s="40"/>
    </row>
    <row r="312" ht="12.75" customHeight="1">
      <c r="B312" s="40"/>
      <c r="C312" s="40"/>
      <c r="D312" s="40"/>
      <c r="E312" s="40"/>
      <c r="F312" s="40"/>
      <c r="G312" s="43" t="s">
        <v>35</v>
      </c>
      <c r="H312" s="40"/>
    </row>
    <row r="313" ht="12.75" customHeight="1">
      <c r="B313" s="40"/>
      <c r="C313" s="40"/>
      <c r="D313" s="40"/>
      <c r="E313" s="40"/>
      <c r="F313" s="40"/>
      <c r="G313" s="43" t="s">
        <v>36</v>
      </c>
      <c r="H313" s="40"/>
    </row>
    <row r="314" ht="12.75" customHeight="1">
      <c r="B314" s="44" t="s">
        <v>37</v>
      </c>
      <c r="C314" s="45" t="str">
        <f>'集計'!$B$2</f>
        <v>#REF!</v>
      </c>
      <c r="D314" s="17"/>
      <c r="E314" s="40"/>
      <c r="F314" s="40"/>
      <c r="G314" s="7" t="s">
        <v>38</v>
      </c>
    </row>
    <row r="315" ht="12.75" customHeight="1">
      <c r="B315" s="44" t="s">
        <v>39</v>
      </c>
      <c r="C315" s="16">
        <v>3.0</v>
      </c>
      <c r="D315" s="17"/>
      <c r="E315" s="40"/>
      <c r="F315" s="40"/>
      <c r="G315" s="7" t="s">
        <v>40</v>
      </c>
    </row>
    <row r="316" ht="12.75" customHeight="1">
      <c r="B316" s="46"/>
      <c r="C316" s="46"/>
      <c r="D316" s="46"/>
      <c r="E316" s="46"/>
      <c r="F316" s="46"/>
      <c r="G316" s="40"/>
      <c r="H316" s="40"/>
    </row>
    <row r="317" ht="12.75" customHeight="1">
      <c r="B317" s="48" t="s">
        <v>41</v>
      </c>
      <c r="C317" s="49"/>
      <c r="D317" s="50">
        <v>16344.0</v>
      </c>
      <c r="F317" s="51" t="s">
        <v>42</v>
      </c>
      <c r="G317" s="40"/>
      <c r="H317" s="40"/>
    </row>
    <row r="318" ht="12.75" customHeight="1">
      <c r="B318" s="17"/>
      <c r="C318" s="26"/>
      <c r="D318" s="17"/>
      <c r="E318" s="17"/>
      <c r="F318" s="26"/>
      <c r="G318" s="40"/>
      <c r="H318" s="40"/>
    </row>
    <row r="319" ht="12.75" customHeight="1">
      <c r="B319" s="40"/>
      <c r="C319" s="40"/>
      <c r="D319" s="52" t="s">
        <v>43</v>
      </c>
      <c r="E319" s="40"/>
      <c r="F319" s="40"/>
      <c r="G319" s="40"/>
      <c r="H319" s="40"/>
    </row>
    <row r="320" ht="12.75" customHeight="1">
      <c r="B320" s="40"/>
      <c r="C320" s="40"/>
      <c r="D320" s="40"/>
      <c r="E320" s="40"/>
      <c r="F320" s="40"/>
      <c r="G320" s="40"/>
      <c r="H320" s="40"/>
    </row>
    <row r="321" ht="12.75" customHeight="1">
      <c r="B321" s="53" t="s">
        <v>44</v>
      </c>
      <c r="D321" s="53" t="s">
        <v>45</v>
      </c>
      <c r="E321" s="53" t="s">
        <v>46</v>
      </c>
      <c r="G321" s="53" t="s">
        <v>47</v>
      </c>
    </row>
    <row r="322" ht="12.75" customHeight="1">
      <c r="B322" s="46" t="s">
        <v>23</v>
      </c>
      <c r="C322" s="46"/>
      <c r="D322" s="13">
        <v>8.0</v>
      </c>
      <c r="E322" s="33">
        <f>IF(C315=1,D322*1620*0.9,IF(C315=2,D322*1820*0.9,D322*2020*0.9))</f>
        <v>14544</v>
      </c>
      <c r="F322" s="17"/>
      <c r="G322" s="34">
        <v>0.0</v>
      </c>
      <c r="H322" s="17"/>
    </row>
    <row r="323" ht="12.75" customHeight="1">
      <c r="B323" s="46" t="s">
        <v>48</v>
      </c>
      <c r="C323" s="46"/>
      <c r="D323" s="13">
        <v>4.0</v>
      </c>
      <c r="E323" s="36">
        <f>D323*500*0.9</f>
        <v>1800</v>
      </c>
      <c r="F323" s="20"/>
      <c r="G323" s="34">
        <v>0.0</v>
      </c>
      <c r="H323" s="17"/>
    </row>
    <row r="324" ht="12.75" customHeight="1">
      <c r="B324" s="46"/>
      <c r="C324" s="46"/>
      <c r="D324" s="46"/>
      <c r="E324" s="54"/>
      <c r="F324" s="17"/>
      <c r="G324" s="54"/>
      <c r="H324" s="17"/>
    </row>
    <row r="325" ht="12.75" customHeight="1">
      <c r="B325" s="46"/>
      <c r="C325" s="46"/>
      <c r="D325" s="46"/>
      <c r="E325" s="54"/>
      <c r="F325" s="17"/>
      <c r="G325" s="54"/>
      <c r="H325" s="17"/>
    </row>
    <row r="326" ht="12.75" customHeight="1"/>
    <row r="327" ht="12.75" customHeight="1"/>
    <row r="328" ht="12.75" customHeight="1">
      <c r="B328" s="9" t="s">
        <v>32</v>
      </c>
      <c r="C328" s="10"/>
      <c r="D328" s="10"/>
      <c r="E328" s="10"/>
      <c r="F328" s="10"/>
      <c r="G328" s="10"/>
      <c r="H328" s="10"/>
    </row>
    <row r="329" ht="12.75" customHeight="1">
      <c r="B329" s="11"/>
    </row>
    <row r="330" ht="12.75" customHeight="1"/>
    <row r="331" ht="12.75" customHeight="1">
      <c r="B331" s="12" t="s">
        <v>63</v>
      </c>
      <c r="C331" s="17"/>
    </row>
    <row r="332" ht="12.75" customHeight="1">
      <c r="G332" s="7" t="s">
        <v>35</v>
      </c>
    </row>
    <row r="333" ht="12.75" customHeight="1">
      <c r="E333" s="14"/>
      <c r="G333" s="7" t="s">
        <v>36</v>
      </c>
    </row>
    <row r="334" ht="12.75" customHeight="1">
      <c r="B334" s="15" t="s">
        <v>37</v>
      </c>
      <c r="C334" s="16" t="str">
        <f>'集計'!$B$2</f>
        <v>#REF!</v>
      </c>
      <c r="D334" s="17"/>
      <c r="G334" s="7" t="s">
        <v>38</v>
      </c>
    </row>
    <row r="335" ht="12.75" customHeight="1">
      <c r="B335" s="18" t="s">
        <v>39</v>
      </c>
      <c r="C335" s="19">
        <v>3.0</v>
      </c>
      <c r="D335" s="20"/>
      <c r="G335" s="7" t="s">
        <v>40</v>
      </c>
    </row>
    <row r="336" ht="12.75" customHeight="1"/>
    <row r="337" ht="12.75" customHeight="1">
      <c r="B337" s="21" t="s">
        <v>41</v>
      </c>
      <c r="C337" s="22"/>
      <c r="D337" s="23">
        <v>29970.0</v>
      </c>
      <c r="E337" s="22"/>
      <c r="F337" s="24" t="s">
        <v>42</v>
      </c>
    </row>
    <row r="338" ht="12.75" customHeight="1">
      <c r="B338" s="25"/>
      <c r="C338" s="17"/>
      <c r="D338" s="17"/>
      <c r="E338" s="17"/>
      <c r="F338" s="26"/>
    </row>
    <row r="339" ht="12.75" customHeight="1">
      <c r="C339" s="27"/>
      <c r="D339" s="28" t="s">
        <v>43</v>
      </c>
    </row>
    <row r="340" ht="12.75" customHeight="1"/>
    <row r="341" ht="12.75" customHeight="1">
      <c r="B341" s="29" t="s">
        <v>44</v>
      </c>
      <c r="C341" s="30"/>
      <c r="D341" s="31" t="s">
        <v>45</v>
      </c>
      <c r="E341" s="29" t="s">
        <v>46</v>
      </c>
      <c r="F341" s="30"/>
      <c r="G341" s="29" t="s">
        <v>47</v>
      </c>
      <c r="H341" s="30"/>
    </row>
    <row r="342" ht="12.75" customHeight="1">
      <c r="B342" s="46" t="s">
        <v>23</v>
      </c>
      <c r="C342" s="46"/>
      <c r="D342" s="13">
        <v>15.0</v>
      </c>
      <c r="E342" s="33">
        <f>IF(C335=1,D342*1620*0.9,IF(C335=2,D342*1820*0.9,D342*2020*0.9))</f>
        <v>27270</v>
      </c>
      <c r="F342" s="17"/>
      <c r="G342" s="34">
        <v>0.0</v>
      </c>
      <c r="H342" s="17"/>
    </row>
    <row r="343" ht="12.75" customHeight="1">
      <c r="B343" s="35" t="s">
        <v>48</v>
      </c>
      <c r="C343" s="35"/>
      <c r="D343" s="13">
        <v>6.0</v>
      </c>
      <c r="E343" s="36">
        <f>D343*500*0.9</f>
        <v>2700</v>
      </c>
      <c r="F343" s="20"/>
      <c r="G343" s="34">
        <v>0.0</v>
      </c>
      <c r="H343" s="17"/>
    </row>
    <row r="344" ht="12.75" customHeight="1">
      <c r="B344" s="35"/>
      <c r="C344" s="35"/>
      <c r="D344" s="35"/>
      <c r="E344" s="38"/>
      <c r="F344" s="20"/>
      <c r="G344" s="13"/>
      <c r="H344" s="17"/>
    </row>
    <row r="345" ht="12.75" customHeight="1">
      <c r="B345" s="35"/>
      <c r="C345" s="35"/>
      <c r="D345" s="35"/>
      <c r="E345" s="38"/>
      <c r="F345" s="20"/>
      <c r="G345" s="13"/>
      <c r="H345" s="17"/>
    </row>
    <row r="346" ht="12.75" customHeight="1"/>
    <row r="347" ht="12.75" customHeight="1"/>
    <row r="348" ht="12.75" customHeight="1"/>
    <row r="349" ht="12.75" customHeight="1">
      <c r="B349" s="42" t="s">
        <v>32</v>
      </c>
    </row>
    <row r="350" ht="12.75" customHeight="1"/>
    <row r="351" ht="12.75" customHeight="1">
      <c r="B351" s="40"/>
      <c r="C351" s="40"/>
      <c r="D351" s="40"/>
      <c r="E351" s="40"/>
      <c r="F351" s="40"/>
      <c r="G351" s="40"/>
      <c r="H351" s="40"/>
    </row>
    <row r="352" ht="12.75" customHeight="1">
      <c r="B352" s="12" t="s">
        <v>64</v>
      </c>
      <c r="C352" s="17"/>
      <c r="D352" s="40" t="s">
        <v>34</v>
      </c>
      <c r="E352" s="40"/>
      <c r="F352" s="40"/>
      <c r="G352" s="40"/>
      <c r="H352" s="40"/>
    </row>
    <row r="353" ht="12.75" customHeight="1">
      <c r="B353" s="40"/>
      <c r="C353" s="40"/>
      <c r="D353" s="40"/>
      <c r="E353" s="40"/>
      <c r="F353" s="40"/>
      <c r="G353" s="43" t="s">
        <v>35</v>
      </c>
      <c r="H353" s="40"/>
    </row>
    <row r="354" ht="12.75" customHeight="1">
      <c r="B354" s="40"/>
      <c r="C354" s="40"/>
      <c r="D354" s="40"/>
      <c r="E354" s="40"/>
      <c r="F354" s="40"/>
      <c r="G354" s="43" t="s">
        <v>36</v>
      </c>
      <c r="H354" s="40"/>
    </row>
    <row r="355" ht="12.75" customHeight="1">
      <c r="B355" s="44" t="s">
        <v>37</v>
      </c>
      <c r="C355" s="45" t="str">
        <f>'集計'!$B$2</f>
        <v>#REF!</v>
      </c>
      <c r="D355" s="17"/>
      <c r="E355" s="40"/>
      <c r="F355" s="40"/>
      <c r="G355" s="7" t="s">
        <v>38</v>
      </c>
    </row>
    <row r="356" ht="12.75" customHeight="1">
      <c r="B356" s="44" t="s">
        <v>39</v>
      </c>
      <c r="C356" s="16">
        <v>3.0</v>
      </c>
      <c r="D356" s="17"/>
      <c r="E356" s="40"/>
      <c r="F356" s="40"/>
      <c r="G356" s="7" t="s">
        <v>40</v>
      </c>
    </row>
    <row r="357" ht="12.75" customHeight="1">
      <c r="B357" s="46"/>
      <c r="C357" s="46"/>
      <c r="D357" s="46"/>
      <c r="E357" s="46"/>
      <c r="F357" s="46"/>
      <c r="G357" s="40"/>
      <c r="H357" s="40"/>
    </row>
    <row r="358" ht="12.75" customHeight="1">
      <c r="B358" s="48" t="s">
        <v>41</v>
      </c>
      <c r="C358" s="49"/>
      <c r="D358" s="50">
        <v>22698.0</v>
      </c>
      <c r="F358" s="51" t="s">
        <v>42</v>
      </c>
      <c r="G358" s="40"/>
      <c r="H358" s="40"/>
    </row>
    <row r="359" ht="12.75" customHeight="1">
      <c r="B359" s="17"/>
      <c r="C359" s="26"/>
      <c r="D359" s="17"/>
      <c r="E359" s="17"/>
      <c r="F359" s="26"/>
      <c r="G359" s="40"/>
      <c r="H359" s="40"/>
    </row>
    <row r="360" ht="12.75" customHeight="1">
      <c r="B360" s="40"/>
      <c r="C360" s="40"/>
      <c r="D360" s="52" t="s">
        <v>43</v>
      </c>
      <c r="E360" s="40"/>
      <c r="F360" s="40"/>
      <c r="G360" s="40"/>
      <c r="H360" s="40"/>
    </row>
    <row r="361" ht="12.75" customHeight="1">
      <c r="B361" s="40"/>
      <c r="C361" s="40"/>
      <c r="D361" s="40"/>
      <c r="E361" s="40"/>
      <c r="F361" s="40"/>
      <c r="G361" s="40"/>
      <c r="H361" s="40"/>
    </row>
    <row r="362" ht="12.75" customHeight="1">
      <c r="B362" s="53" t="s">
        <v>44</v>
      </c>
      <c r="D362" s="53" t="s">
        <v>45</v>
      </c>
      <c r="E362" s="53" t="s">
        <v>46</v>
      </c>
      <c r="G362" s="53" t="s">
        <v>47</v>
      </c>
    </row>
    <row r="363" ht="12.75" customHeight="1">
      <c r="B363" s="46" t="s">
        <v>23</v>
      </c>
      <c r="C363" s="46"/>
      <c r="D363" s="13">
        <v>11.0</v>
      </c>
      <c r="E363" s="33">
        <f>IF(C356=1,D363*1620*0.9,IF(C356=2,D363*1820*0.9,D363*2020*0.9))</f>
        <v>19998</v>
      </c>
      <c r="F363" s="17"/>
      <c r="G363" s="34">
        <v>0.0</v>
      </c>
      <c r="H363" s="17"/>
    </row>
    <row r="364" ht="12.75" customHeight="1">
      <c r="B364" s="46" t="s">
        <v>48</v>
      </c>
      <c r="C364" s="46"/>
      <c r="D364" s="13">
        <v>6.0</v>
      </c>
      <c r="E364" s="36">
        <f>D364*500*0.9</f>
        <v>2700</v>
      </c>
      <c r="F364" s="20"/>
      <c r="G364" s="34">
        <v>0.0</v>
      </c>
      <c r="H364" s="17"/>
    </row>
    <row r="365" ht="12.75" customHeight="1">
      <c r="B365" s="46"/>
      <c r="C365" s="46"/>
      <c r="D365" s="46"/>
      <c r="E365" s="54"/>
      <c r="F365" s="17"/>
      <c r="G365" s="54"/>
      <c r="H365" s="17"/>
    </row>
    <row r="366" ht="12.75" customHeight="1">
      <c r="B366" s="46"/>
      <c r="C366" s="46"/>
      <c r="D366" s="46"/>
      <c r="E366" s="54"/>
      <c r="F366" s="17"/>
      <c r="G366" s="54"/>
      <c r="H366" s="17"/>
    </row>
    <row r="367" ht="12.75" customHeight="1"/>
    <row r="368" ht="12.75" customHeight="1"/>
    <row r="369" ht="12.75" customHeight="1">
      <c r="B369" s="42" t="s">
        <v>32</v>
      </c>
    </row>
    <row r="370" ht="12.75" customHeight="1"/>
    <row r="371" ht="12.75" customHeight="1">
      <c r="B371" s="40"/>
      <c r="C371" s="40"/>
      <c r="D371" s="40"/>
      <c r="E371" s="40"/>
      <c r="F371" s="40"/>
      <c r="G371" s="40"/>
      <c r="H371" s="40"/>
    </row>
    <row r="372" ht="12.75" customHeight="1">
      <c r="B372" s="12" t="s">
        <v>65</v>
      </c>
      <c r="C372" s="17"/>
      <c r="D372" s="40" t="s">
        <v>34</v>
      </c>
      <c r="E372" s="40"/>
      <c r="F372" s="40"/>
      <c r="G372" s="40"/>
      <c r="H372" s="40"/>
    </row>
    <row r="373" ht="12.75" customHeight="1">
      <c r="B373" s="40"/>
      <c r="C373" s="40"/>
      <c r="D373" s="40"/>
      <c r="E373" s="40"/>
      <c r="F373" s="40"/>
      <c r="G373" s="43" t="s">
        <v>35</v>
      </c>
      <c r="H373" s="40"/>
    </row>
    <row r="374" ht="12.75" customHeight="1">
      <c r="B374" s="40"/>
      <c r="C374" s="40"/>
      <c r="D374" s="40"/>
      <c r="E374" s="40"/>
      <c r="F374" s="40"/>
      <c r="G374" s="43" t="s">
        <v>36</v>
      </c>
      <c r="H374" s="40"/>
    </row>
    <row r="375" ht="12.75" customHeight="1">
      <c r="B375" s="44" t="s">
        <v>37</v>
      </c>
      <c r="C375" s="45" t="str">
        <f>'集計'!$B$2</f>
        <v>#REF!</v>
      </c>
      <c r="D375" s="17"/>
      <c r="E375" s="40"/>
      <c r="F375" s="40"/>
      <c r="G375" s="7" t="s">
        <v>38</v>
      </c>
    </row>
    <row r="376" ht="12.75" customHeight="1">
      <c r="B376" s="44" t="s">
        <v>39</v>
      </c>
      <c r="C376" s="16">
        <v>3.0</v>
      </c>
      <c r="D376" s="17"/>
      <c r="E376" s="40"/>
      <c r="F376" s="40"/>
      <c r="G376" s="7" t="s">
        <v>40</v>
      </c>
    </row>
    <row r="377" ht="12.75" customHeight="1">
      <c r="B377" s="46"/>
      <c r="C377" s="46"/>
      <c r="D377" s="46"/>
      <c r="E377" s="46"/>
      <c r="F377" s="46"/>
      <c r="G377" s="40"/>
      <c r="H377" s="40"/>
    </row>
    <row r="378" ht="12.75" customHeight="1">
      <c r="B378" s="48" t="s">
        <v>41</v>
      </c>
      <c r="C378" s="49"/>
      <c r="D378" s="50">
        <v>67230.0</v>
      </c>
      <c r="F378" s="51" t="s">
        <v>42</v>
      </c>
      <c r="G378" s="40"/>
      <c r="H378" s="40"/>
    </row>
    <row r="379" ht="12.75" customHeight="1">
      <c r="B379" s="17"/>
      <c r="C379" s="26"/>
      <c r="D379" s="17"/>
      <c r="E379" s="17"/>
      <c r="F379" s="26"/>
      <c r="G379" s="40"/>
      <c r="H379" s="40"/>
    </row>
    <row r="380" ht="12.75" customHeight="1">
      <c r="B380" s="40"/>
      <c r="C380" s="40"/>
      <c r="D380" s="52" t="s">
        <v>43</v>
      </c>
      <c r="E380" s="40"/>
      <c r="F380" s="40"/>
      <c r="G380" s="40"/>
      <c r="H380" s="40"/>
    </row>
    <row r="381" ht="12.75" customHeight="1">
      <c r="B381" s="40"/>
      <c r="C381" s="40"/>
      <c r="D381" s="40"/>
      <c r="E381" s="40"/>
      <c r="F381" s="40"/>
      <c r="G381" s="40"/>
      <c r="H381" s="40"/>
    </row>
    <row r="382" ht="12.75" customHeight="1">
      <c r="B382" s="53" t="s">
        <v>44</v>
      </c>
      <c r="D382" s="53" t="s">
        <v>45</v>
      </c>
      <c r="E382" s="53" t="s">
        <v>46</v>
      </c>
      <c r="G382" s="53" t="s">
        <v>47</v>
      </c>
    </row>
    <row r="383" ht="12.75" customHeight="1">
      <c r="B383" s="46" t="s">
        <v>23</v>
      </c>
      <c r="C383" s="46"/>
      <c r="D383" s="13">
        <v>35.0</v>
      </c>
      <c r="E383" s="33">
        <f>IF(C376=1,D383*1620*0.9,IF(C376=2,D383*1820*0.9,D383*2020*0.9))</f>
        <v>63630</v>
      </c>
      <c r="F383" s="17"/>
      <c r="G383" s="34">
        <v>0.0</v>
      </c>
      <c r="H383" s="17"/>
    </row>
    <row r="384" ht="12.75" customHeight="1">
      <c r="B384" s="46" t="s">
        <v>48</v>
      </c>
      <c r="C384" s="46"/>
      <c r="D384" s="13">
        <v>8.0</v>
      </c>
      <c r="E384" s="36">
        <f>D384*500*0.9</f>
        <v>3600</v>
      </c>
      <c r="F384" s="20"/>
      <c r="G384" s="34">
        <v>0.0</v>
      </c>
      <c r="H384" s="17"/>
    </row>
    <row r="385" ht="12.75" customHeight="1">
      <c r="B385" s="46"/>
      <c r="C385" s="46"/>
      <c r="D385" s="46"/>
      <c r="E385" s="54"/>
      <c r="F385" s="17"/>
      <c r="G385" s="54"/>
      <c r="H385" s="17"/>
    </row>
    <row r="386" ht="12.75" customHeight="1">
      <c r="B386" s="46"/>
      <c r="C386" s="46"/>
      <c r="D386" s="46"/>
      <c r="E386" s="54"/>
      <c r="F386" s="17"/>
      <c r="G386" s="54"/>
      <c r="H386" s="17"/>
    </row>
    <row r="387" ht="12.75" customHeight="1"/>
    <row r="388" ht="12.75" customHeight="1"/>
    <row r="389" ht="12.75" customHeight="1">
      <c r="B389" s="42" t="s">
        <v>32</v>
      </c>
    </row>
    <row r="390" ht="12.75" customHeight="1"/>
    <row r="391" ht="12.75" customHeight="1">
      <c r="B391" s="40"/>
      <c r="C391" s="40"/>
      <c r="D391" s="40"/>
      <c r="E391" s="40"/>
      <c r="F391" s="40"/>
      <c r="G391" s="40"/>
      <c r="H391" s="40"/>
    </row>
    <row r="392" ht="12.75" customHeight="1">
      <c r="B392" s="12" t="s">
        <v>66</v>
      </c>
      <c r="C392" s="13" t="s">
        <v>34</v>
      </c>
      <c r="D392" s="40"/>
      <c r="E392" s="40"/>
      <c r="F392" s="40"/>
      <c r="G392" s="40"/>
      <c r="H392" s="40"/>
    </row>
    <row r="393" ht="12.75" customHeight="1">
      <c r="B393" s="40"/>
      <c r="C393" s="40"/>
      <c r="D393" s="40"/>
      <c r="E393" s="40"/>
      <c r="F393" s="40"/>
      <c r="G393" s="43" t="s">
        <v>35</v>
      </c>
      <c r="H393" s="40"/>
    </row>
    <row r="394" ht="12.75" customHeight="1">
      <c r="B394" s="40"/>
      <c r="C394" s="40"/>
      <c r="D394" s="40"/>
      <c r="E394" s="40"/>
      <c r="F394" s="40"/>
      <c r="G394" s="43" t="s">
        <v>36</v>
      </c>
      <c r="H394" s="40"/>
    </row>
    <row r="395" ht="12.75" customHeight="1">
      <c r="B395" s="44" t="s">
        <v>37</v>
      </c>
      <c r="C395" s="45" t="str">
        <f>'集計'!$B$2</f>
        <v>#REF!</v>
      </c>
      <c r="D395" s="17"/>
      <c r="E395" s="40"/>
      <c r="F395" s="40"/>
      <c r="G395" s="7" t="s">
        <v>38</v>
      </c>
    </row>
    <row r="396" ht="12.75" customHeight="1">
      <c r="B396" s="44" t="s">
        <v>39</v>
      </c>
      <c r="C396" s="16">
        <v>3.0</v>
      </c>
      <c r="D396" s="17"/>
      <c r="E396" s="40"/>
      <c r="F396" s="40"/>
      <c r="G396" s="7" t="s">
        <v>40</v>
      </c>
    </row>
    <row r="397" ht="12.75" customHeight="1">
      <c r="B397" s="46"/>
      <c r="C397" s="46"/>
      <c r="D397" s="46"/>
      <c r="E397" s="46"/>
      <c r="F397" s="46"/>
      <c r="G397" s="40"/>
      <c r="H397" s="40"/>
    </row>
    <row r="398" ht="12.75" customHeight="1">
      <c r="B398" s="48" t="s">
        <v>41</v>
      </c>
      <c r="C398" s="49"/>
      <c r="D398" s="50">
        <v>18144.0</v>
      </c>
      <c r="F398" s="51" t="s">
        <v>42</v>
      </c>
      <c r="G398" s="40"/>
      <c r="H398" s="40"/>
    </row>
    <row r="399" ht="12.75" customHeight="1">
      <c r="B399" s="17"/>
      <c r="C399" s="26"/>
      <c r="D399" s="17"/>
      <c r="E399" s="17"/>
      <c r="F399" s="26"/>
      <c r="G399" s="40"/>
      <c r="H399" s="40"/>
    </row>
    <row r="400" ht="12.75" customHeight="1">
      <c r="B400" s="40"/>
      <c r="C400" s="40"/>
      <c r="D400" s="52" t="s">
        <v>43</v>
      </c>
      <c r="E400" s="40"/>
      <c r="F400" s="40"/>
      <c r="G400" s="40"/>
      <c r="H400" s="40"/>
    </row>
    <row r="401" ht="12.75" customHeight="1">
      <c r="B401" s="40"/>
      <c r="C401" s="40"/>
      <c r="D401" s="40"/>
      <c r="E401" s="40"/>
      <c r="F401" s="40"/>
      <c r="G401" s="40"/>
      <c r="H401" s="40"/>
    </row>
    <row r="402" ht="12.75" customHeight="1">
      <c r="B402" s="53" t="s">
        <v>44</v>
      </c>
      <c r="D402" s="53" t="s">
        <v>45</v>
      </c>
      <c r="E402" s="53" t="s">
        <v>46</v>
      </c>
      <c r="G402" s="53" t="s">
        <v>47</v>
      </c>
    </row>
    <row r="403" ht="12.75" customHeight="1">
      <c r="B403" s="46" t="s">
        <v>23</v>
      </c>
      <c r="C403" s="46"/>
      <c r="D403" s="13">
        <v>8.0</v>
      </c>
      <c r="E403" s="33">
        <f>IF(C396=1,D403*1620*0.9,IF(C396=2,D403*1820*0.9,D403*2020*0.9))</f>
        <v>14544</v>
      </c>
      <c r="F403" s="17"/>
      <c r="G403" s="34">
        <v>0.0</v>
      </c>
      <c r="H403" s="17"/>
    </row>
    <row r="404" ht="12.75" customHeight="1">
      <c r="B404" s="46" t="s">
        <v>48</v>
      </c>
      <c r="C404" s="46"/>
      <c r="D404" s="13">
        <v>8.0</v>
      </c>
      <c r="E404" s="36">
        <f>D404*500*0.9</f>
        <v>3600</v>
      </c>
      <c r="F404" s="20"/>
      <c r="G404" s="34">
        <v>0.0</v>
      </c>
      <c r="H404" s="17"/>
    </row>
    <row r="405" ht="12.75" customHeight="1">
      <c r="B405" s="46"/>
      <c r="C405" s="46"/>
      <c r="D405" s="46"/>
      <c r="E405" s="54"/>
      <c r="F405" s="17"/>
      <c r="G405" s="54"/>
      <c r="H405" s="17"/>
    </row>
    <row r="406" ht="12.75" customHeight="1">
      <c r="B406" s="46"/>
      <c r="C406" s="46"/>
      <c r="D406" s="46"/>
      <c r="E406" s="54"/>
      <c r="F406" s="17"/>
      <c r="G406" s="54"/>
      <c r="H406" s="17"/>
    </row>
    <row r="407" ht="12.75" customHeight="1"/>
    <row r="408" ht="12.75" customHeight="1"/>
    <row r="409" ht="12.75" customHeight="1">
      <c r="B409" s="42" t="s">
        <v>32</v>
      </c>
    </row>
    <row r="410" ht="12.75" customHeight="1"/>
    <row r="411" ht="12.75" customHeight="1">
      <c r="B411" s="40"/>
      <c r="C411" s="40"/>
      <c r="D411" s="40"/>
      <c r="E411" s="40"/>
      <c r="F411" s="40"/>
      <c r="G411" s="40"/>
      <c r="H411" s="40"/>
    </row>
    <row r="412" ht="12.75" customHeight="1">
      <c r="B412" s="12" t="s">
        <v>67</v>
      </c>
      <c r="C412" s="13" t="s">
        <v>34</v>
      </c>
      <c r="D412" s="40"/>
      <c r="E412" s="40"/>
      <c r="F412" s="40"/>
      <c r="G412" s="40"/>
      <c r="H412" s="40"/>
    </row>
    <row r="413" ht="12.75" customHeight="1">
      <c r="B413" s="40"/>
      <c r="C413" s="40"/>
      <c r="D413" s="40"/>
      <c r="E413" s="40"/>
      <c r="F413" s="40"/>
      <c r="G413" s="43" t="s">
        <v>35</v>
      </c>
      <c r="H413" s="40"/>
    </row>
    <row r="414" ht="12.75" customHeight="1">
      <c r="B414" s="40"/>
      <c r="C414" s="40"/>
      <c r="D414" s="40"/>
      <c r="E414" s="40"/>
      <c r="F414" s="40"/>
      <c r="G414" s="43" t="s">
        <v>36</v>
      </c>
      <c r="H414" s="40"/>
    </row>
    <row r="415" ht="12.75" customHeight="1">
      <c r="B415" s="44" t="s">
        <v>37</v>
      </c>
      <c r="C415" s="45" t="str">
        <f>'集計'!$B$2</f>
        <v>#REF!</v>
      </c>
      <c r="D415" s="17"/>
      <c r="E415" s="40"/>
      <c r="F415" s="40"/>
      <c r="G415" s="7" t="s">
        <v>38</v>
      </c>
    </row>
    <row r="416" ht="12.75" customHeight="1">
      <c r="B416" s="44" t="s">
        <v>39</v>
      </c>
      <c r="C416" s="16">
        <v>3.0</v>
      </c>
      <c r="D416" s="17"/>
      <c r="E416" s="40"/>
      <c r="F416" s="40"/>
      <c r="G416" s="7" t="s">
        <v>40</v>
      </c>
    </row>
    <row r="417" ht="12.75" customHeight="1">
      <c r="B417" s="46"/>
      <c r="C417" s="46"/>
      <c r="D417" s="46"/>
      <c r="E417" s="46"/>
      <c r="F417" s="46"/>
      <c r="G417" s="40"/>
      <c r="H417" s="40"/>
    </row>
    <row r="418" ht="12.75" customHeight="1">
      <c r="B418" s="48" t="s">
        <v>41</v>
      </c>
      <c r="C418" s="49"/>
      <c r="D418" s="50">
        <v>49968.0</v>
      </c>
      <c r="F418" s="51" t="s">
        <v>42</v>
      </c>
      <c r="G418" s="40"/>
      <c r="H418" s="40"/>
    </row>
    <row r="419" ht="12.75" customHeight="1">
      <c r="B419" s="17"/>
      <c r="C419" s="26"/>
      <c r="D419" s="17"/>
      <c r="E419" s="17"/>
      <c r="F419" s="26"/>
      <c r="G419" s="40"/>
      <c r="H419" s="40"/>
    </row>
    <row r="420" ht="12.75" customHeight="1">
      <c r="B420" s="40"/>
      <c r="C420" s="40"/>
      <c r="D420" s="52" t="s">
        <v>43</v>
      </c>
      <c r="E420" s="40"/>
      <c r="F420" s="40"/>
      <c r="G420" s="40"/>
      <c r="H420" s="40"/>
    </row>
    <row r="421" ht="12.75" customHeight="1">
      <c r="B421" s="40"/>
      <c r="C421" s="40"/>
      <c r="D421" s="40"/>
      <c r="E421" s="40"/>
      <c r="F421" s="40"/>
      <c r="G421" s="40"/>
      <c r="H421" s="40"/>
    </row>
    <row r="422" ht="12.75" customHeight="1">
      <c r="B422" s="53" t="s">
        <v>44</v>
      </c>
      <c r="D422" s="53" t="s">
        <v>45</v>
      </c>
      <c r="E422" s="53" t="s">
        <v>46</v>
      </c>
      <c r="G422" s="53" t="s">
        <v>47</v>
      </c>
    </row>
    <row r="423" ht="12.75" customHeight="1">
      <c r="B423" s="46" t="s">
        <v>23</v>
      </c>
      <c r="C423" s="46"/>
      <c r="D423" s="13">
        <v>26.0</v>
      </c>
      <c r="E423" s="33">
        <f>IF(C416=1,D423*1620*0.9,IF(C416=2,D423*1820*0.9,D423*2020*0.9))</f>
        <v>47268</v>
      </c>
      <c r="F423" s="17"/>
      <c r="G423" s="34">
        <v>0.0</v>
      </c>
      <c r="H423" s="17"/>
    </row>
    <row r="424" ht="12.75" customHeight="1">
      <c r="B424" s="46" t="s">
        <v>48</v>
      </c>
      <c r="C424" s="46"/>
      <c r="D424" s="13">
        <v>6.0</v>
      </c>
      <c r="E424" s="36">
        <f>D424*500*0.9</f>
        <v>2700</v>
      </c>
      <c r="F424" s="20"/>
      <c r="G424" s="34">
        <v>0.0</v>
      </c>
      <c r="H424" s="17"/>
    </row>
    <row r="425" ht="12.75" customHeight="1">
      <c r="B425" s="46"/>
      <c r="C425" s="46"/>
      <c r="D425" s="46"/>
      <c r="E425" s="54"/>
      <c r="F425" s="17"/>
      <c r="G425" s="54"/>
      <c r="H425" s="17"/>
    </row>
    <row r="426" ht="12.75" customHeight="1">
      <c r="B426" s="46"/>
      <c r="C426" s="46"/>
      <c r="D426" s="46"/>
      <c r="E426" s="54"/>
      <c r="F426" s="17"/>
      <c r="G426" s="54"/>
      <c r="H426" s="17"/>
    </row>
    <row r="427" ht="12.75" customHeight="1"/>
    <row r="428" ht="12.75" customHeight="1"/>
    <row r="429" ht="12.75" customHeight="1"/>
    <row r="430" ht="12.75" customHeight="1">
      <c r="B430" s="42" t="s">
        <v>32</v>
      </c>
    </row>
    <row r="431" ht="12.75" customHeight="1"/>
    <row r="432" ht="12.75" customHeight="1">
      <c r="B432" s="40"/>
      <c r="C432" s="40"/>
      <c r="D432" s="40"/>
      <c r="E432" s="40"/>
      <c r="F432" s="40"/>
      <c r="G432" s="40"/>
      <c r="H432" s="40"/>
    </row>
    <row r="433" ht="12.75" customHeight="1">
      <c r="B433" s="12" t="s">
        <v>68</v>
      </c>
      <c r="C433" s="13" t="s">
        <v>34</v>
      </c>
      <c r="D433" s="40"/>
      <c r="E433" s="40"/>
      <c r="F433" s="40"/>
      <c r="G433" s="40"/>
      <c r="H433" s="40"/>
    </row>
    <row r="434" ht="12.75" customHeight="1">
      <c r="B434" s="40"/>
      <c r="C434" s="40"/>
      <c r="D434" s="40"/>
      <c r="E434" s="40"/>
      <c r="F434" s="40"/>
      <c r="G434" s="43" t="s">
        <v>35</v>
      </c>
      <c r="H434" s="40"/>
    </row>
    <row r="435" ht="12.75" customHeight="1">
      <c r="B435" s="40"/>
      <c r="C435" s="40"/>
      <c r="D435" s="40"/>
      <c r="E435" s="40"/>
      <c r="F435" s="40"/>
      <c r="G435" s="43" t="s">
        <v>36</v>
      </c>
      <c r="H435" s="40"/>
    </row>
    <row r="436" ht="12.75" customHeight="1">
      <c r="B436" s="44" t="s">
        <v>37</v>
      </c>
      <c r="C436" s="45" t="str">
        <f>'集計'!$B$2</f>
        <v>#REF!</v>
      </c>
      <c r="D436" s="17"/>
      <c r="E436" s="40"/>
      <c r="F436" s="40"/>
      <c r="G436" s="7" t="s">
        <v>38</v>
      </c>
    </row>
    <row r="437" ht="12.75" customHeight="1">
      <c r="B437" s="44" t="s">
        <v>39</v>
      </c>
      <c r="C437" s="16">
        <v>3.0</v>
      </c>
      <c r="D437" s="17"/>
      <c r="E437" s="40"/>
      <c r="F437" s="40"/>
      <c r="G437" s="7" t="s">
        <v>40</v>
      </c>
    </row>
    <row r="438" ht="12.75" customHeight="1">
      <c r="B438" s="46"/>
      <c r="C438" s="46"/>
      <c r="D438" s="46"/>
      <c r="E438" s="46"/>
      <c r="F438" s="46"/>
      <c r="G438" s="40"/>
      <c r="H438" s="40"/>
    </row>
    <row r="439" ht="12.75" customHeight="1">
      <c r="B439" s="48" t="s">
        <v>41</v>
      </c>
      <c r="C439" s="49"/>
      <c r="D439" s="50">
        <v>30438.0</v>
      </c>
      <c r="F439" s="51" t="s">
        <v>42</v>
      </c>
      <c r="G439" s="40"/>
      <c r="H439" s="40"/>
    </row>
    <row r="440" ht="12.75" customHeight="1">
      <c r="B440" s="17"/>
      <c r="C440" s="26"/>
      <c r="D440" s="17"/>
      <c r="E440" s="17"/>
      <c r="F440" s="26"/>
      <c r="G440" s="40"/>
      <c r="H440" s="40"/>
    </row>
    <row r="441" ht="12.75" customHeight="1">
      <c r="B441" s="40"/>
      <c r="C441" s="40"/>
      <c r="D441" s="52" t="s">
        <v>43</v>
      </c>
      <c r="E441" s="40"/>
      <c r="F441" s="40"/>
      <c r="G441" s="40"/>
      <c r="H441" s="40"/>
    </row>
    <row r="442" ht="12.75" customHeight="1">
      <c r="B442" s="40"/>
      <c r="C442" s="40"/>
      <c r="D442" s="40"/>
      <c r="E442" s="40"/>
      <c r="F442" s="40"/>
      <c r="G442" s="40"/>
      <c r="H442" s="40"/>
    </row>
    <row r="443" ht="12.75" customHeight="1">
      <c r="B443" s="53" t="s">
        <v>44</v>
      </c>
      <c r="D443" s="53" t="s">
        <v>45</v>
      </c>
      <c r="E443" s="53" t="s">
        <v>46</v>
      </c>
      <c r="G443" s="53" t="s">
        <v>47</v>
      </c>
    </row>
    <row r="444" ht="12.75" customHeight="1">
      <c r="B444" s="46" t="s">
        <v>23</v>
      </c>
      <c r="C444" s="46"/>
      <c r="D444" s="13">
        <v>16.0</v>
      </c>
      <c r="E444" s="33">
        <f>IF(C437=1,D444*1620*0.9,IF(C437=2,D444*1820*0.9,D444*2020*0.9))</f>
        <v>29088</v>
      </c>
      <c r="F444" s="17"/>
      <c r="G444" s="34">
        <v>0.0</v>
      </c>
      <c r="H444" s="17"/>
    </row>
    <row r="445" ht="12.75" customHeight="1">
      <c r="B445" s="46" t="s">
        <v>48</v>
      </c>
      <c r="C445" s="46"/>
      <c r="D445" s="13">
        <v>3.0</v>
      </c>
      <c r="E445" s="36">
        <f>D445*500*0.9</f>
        <v>1350</v>
      </c>
      <c r="F445" s="20"/>
      <c r="G445" s="34">
        <v>0.0</v>
      </c>
      <c r="H445" s="17"/>
    </row>
    <row r="446" ht="12.75" customHeight="1">
      <c r="B446" s="46"/>
      <c r="C446" s="46"/>
      <c r="D446" s="46"/>
      <c r="E446" s="54"/>
      <c r="F446" s="17"/>
      <c r="G446" s="54"/>
      <c r="H446" s="17"/>
    </row>
    <row r="447" ht="12.75" customHeight="1">
      <c r="B447" s="46"/>
      <c r="C447" s="46"/>
      <c r="D447" s="46"/>
      <c r="E447" s="54"/>
      <c r="F447" s="17"/>
      <c r="G447" s="54"/>
      <c r="H447" s="17"/>
    </row>
    <row r="448" ht="12.75" customHeight="1"/>
    <row r="449" ht="12.75" customHeight="1"/>
    <row r="450" ht="12.75" customHeight="1">
      <c r="B450" s="42" t="s">
        <v>32</v>
      </c>
    </row>
    <row r="451" ht="12.75" customHeight="1"/>
    <row r="452" ht="12.75" customHeight="1">
      <c r="B452" s="40"/>
      <c r="C452" s="40"/>
      <c r="D452" s="40"/>
      <c r="E452" s="40"/>
      <c r="F452" s="40"/>
      <c r="G452" s="40"/>
      <c r="H452" s="40"/>
    </row>
    <row r="453" ht="12.75" customHeight="1">
      <c r="B453" s="12" t="s">
        <v>69</v>
      </c>
      <c r="C453" s="13" t="s">
        <v>34</v>
      </c>
      <c r="D453" s="40"/>
      <c r="E453" s="40"/>
      <c r="F453" s="40"/>
      <c r="G453" s="40"/>
      <c r="H453" s="40"/>
    </row>
    <row r="454" ht="12.75" customHeight="1">
      <c r="B454" s="40"/>
      <c r="C454" s="40"/>
      <c r="D454" s="40"/>
      <c r="E454" s="40"/>
      <c r="F454" s="40"/>
      <c r="G454" s="43" t="s">
        <v>35</v>
      </c>
      <c r="H454" s="40"/>
    </row>
    <row r="455" ht="12.75" customHeight="1">
      <c r="B455" s="40"/>
      <c r="C455" s="40"/>
      <c r="D455" s="40"/>
      <c r="E455" s="40"/>
      <c r="F455" s="40"/>
      <c r="G455" s="43" t="s">
        <v>36</v>
      </c>
      <c r="H455" s="40"/>
    </row>
    <row r="456" ht="12.75" customHeight="1">
      <c r="B456" s="44" t="s">
        <v>37</v>
      </c>
      <c r="C456" s="45" t="str">
        <f>'集計'!$B$2</f>
        <v>#REF!</v>
      </c>
      <c r="D456" s="17"/>
      <c r="E456" s="40"/>
      <c r="F456" s="40"/>
      <c r="G456" s="7" t="s">
        <v>38</v>
      </c>
    </row>
    <row r="457" ht="12.75" customHeight="1">
      <c r="B457" s="44" t="s">
        <v>39</v>
      </c>
      <c r="C457" s="16">
        <v>3.0</v>
      </c>
      <c r="D457" s="17"/>
      <c r="E457" s="40"/>
      <c r="F457" s="40"/>
      <c r="G457" s="7" t="s">
        <v>40</v>
      </c>
    </row>
    <row r="458" ht="12.75" customHeight="1">
      <c r="B458" s="46"/>
      <c r="C458" s="46"/>
      <c r="D458" s="46"/>
      <c r="E458" s="46"/>
      <c r="F458" s="46"/>
      <c r="G458" s="40"/>
      <c r="H458" s="40"/>
    </row>
    <row r="459" ht="12.75" customHeight="1">
      <c r="B459" s="48" t="s">
        <v>41</v>
      </c>
      <c r="C459" s="49"/>
      <c r="D459" s="50">
        <v>0.0</v>
      </c>
      <c r="F459" s="51" t="s">
        <v>42</v>
      </c>
      <c r="G459" s="40"/>
      <c r="H459" s="40"/>
    </row>
    <row r="460" ht="12.75" customHeight="1">
      <c r="B460" s="17"/>
      <c r="C460" s="26"/>
      <c r="D460" s="17"/>
      <c r="E460" s="17"/>
      <c r="F460" s="26"/>
      <c r="G460" s="40"/>
      <c r="H460" s="40"/>
    </row>
    <row r="461" ht="12.75" customHeight="1">
      <c r="B461" s="40"/>
      <c r="C461" s="40"/>
      <c r="D461" s="52" t="s">
        <v>43</v>
      </c>
      <c r="E461" s="40"/>
      <c r="F461" s="40"/>
      <c r="G461" s="40"/>
      <c r="H461" s="40"/>
    </row>
    <row r="462" ht="12.75" customHeight="1">
      <c r="B462" s="40"/>
      <c r="C462" s="40"/>
      <c r="D462" s="40"/>
      <c r="E462" s="40"/>
      <c r="F462" s="40"/>
      <c r="G462" s="40"/>
      <c r="H462" s="40"/>
    </row>
    <row r="463" ht="12.75" customHeight="1">
      <c r="B463" s="53" t="s">
        <v>44</v>
      </c>
      <c r="D463" s="53" t="s">
        <v>45</v>
      </c>
      <c r="E463" s="53" t="s">
        <v>46</v>
      </c>
      <c r="G463" s="53" t="s">
        <v>47</v>
      </c>
    </row>
    <row r="464" ht="12.75" customHeight="1">
      <c r="B464" s="46" t="s">
        <v>23</v>
      </c>
      <c r="C464" s="46"/>
      <c r="D464" s="13">
        <v>0.0</v>
      </c>
      <c r="E464" s="33">
        <f>IF(C457=1,D464*1620*0.9,IF(C457=2,D464*1820*0.9,D464*2020*0.9))</f>
        <v>0</v>
      </c>
      <c r="F464" s="17"/>
      <c r="G464" s="34">
        <v>0.0</v>
      </c>
      <c r="H464" s="17"/>
    </row>
    <row r="465" ht="12.75" customHeight="1">
      <c r="B465" s="46" t="s">
        <v>48</v>
      </c>
      <c r="C465" s="46"/>
      <c r="D465" s="13">
        <v>0.0</v>
      </c>
      <c r="E465" s="36">
        <f>D465*500*0.9</f>
        <v>0</v>
      </c>
      <c r="F465" s="20"/>
      <c r="G465" s="34">
        <v>0.0</v>
      </c>
      <c r="H465" s="17"/>
    </row>
    <row r="466" ht="12.75" customHeight="1">
      <c r="B466" s="46"/>
      <c r="C466" s="46"/>
      <c r="D466" s="46"/>
      <c r="E466" s="54"/>
      <c r="F466" s="17"/>
      <c r="G466" s="54"/>
      <c r="H466" s="17"/>
    </row>
    <row r="467" ht="12.75" customHeight="1">
      <c r="B467" s="46"/>
      <c r="C467" s="46"/>
      <c r="D467" s="46"/>
      <c r="E467" s="54"/>
      <c r="F467" s="17"/>
      <c r="G467" s="54"/>
      <c r="H467" s="17"/>
    </row>
    <row r="468" ht="12.75" customHeight="1"/>
    <row r="469" ht="12.75" customHeight="1"/>
    <row r="470" ht="12.75" customHeight="1"/>
    <row r="471" ht="12.75" customHeight="1">
      <c r="B471" s="42" t="s">
        <v>32</v>
      </c>
    </row>
    <row r="472" ht="12.75" customHeight="1"/>
    <row r="473" ht="12.75" customHeight="1">
      <c r="B473" s="40"/>
      <c r="C473" s="40"/>
      <c r="D473" s="40"/>
      <c r="E473" s="40"/>
      <c r="F473" s="40"/>
      <c r="G473" s="40"/>
      <c r="H473" s="40"/>
    </row>
    <row r="474" ht="12.75" customHeight="1">
      <c r="B474" s="12" t="s">
        <v>70</v>
      </c>
      <c r="C474" s="13" t="s">
        <v>34</v>
      </c>
      <c r="D474" s="40"/>
      <c r="E474" s="40"/>
      <c r="F474" s="40"/>
      <c r="G474" s="40"/>
      <c r="H474" s="40"/>
    </row>
    <row r="475" ht="12.75" customHeight="1">
      <c r="B475" s="40"/>
      <c r="C475" s="40"/>
      <c r="D475" s="40"/>
      <c r="E475" s="40"/>
      <c r="F475" s="40"/>
      <c r="G475" s="43" t="s">
        <v>35</v>
      </c>
      <c r="H475" s="40"/>
    </row>
    <row r="476" ht="12.75" customHeight="1">
      <c r="B476" s="40"/>
      <c r="C476" s="40"/>
      <c r="D476" s="40"/>
      <c r="E476" s="40"/>
      <c r="F476" s="40"/>
      <c r="G476" s="43" t="s">
        <v>36</v>
      </c>
      <c r="H476" s="40"/>
    </row>
    <row r="477" ht="12.75" customHeight="1">
      <c r="B477" s="44" t="s">
        <v>37</v>
      </c>
      <c r="C477" s="45" t="str">
        <f>'集計'!$B$2</f>
        <v>#REF!</v>
      </c>
      <c r="D477" s="17"/>
      <c r="E477" s="40"/>
      <c r="F477" s="40"/>
      <c r="G477" s="7" t="s">
        <v>38</v>
      </c>
    </row>
    <row r="478" ht="12.75" customHeight="1">
      <c r="B478" s="44" t="s">
        <v>39</v>
      </c>
      <c r="C478" s="16">
        <v>3.0</v>
      </c>
      <c r="D478" s="17"/>
      <c r="E478" s="40"/>
      <c r="F478" s="40"/>
      <c r="G478" s="7" t="s">
        <v>40</v>
      </c>
    </row>
    <row r="479" ht="12.75" customHeight="1">
      <c r="B479" s="46"/>
      <c r="C479" s="46"/>
      <c r="D479" s="46"/>
      <c r="E479" s="46"/>
      <c r="F479" s="46"/>
      <c r="G479" s="40"/>
      <c r="H479" s="40"/>
    </row>
    <row r="480" ht="12.75" customHeight="1">
      <c r="B480" s="48" t="s">
        <v>41</v>
      </c>
      <c r="C480" s="49"/>
      <c r="D480" s="50">
        <v>0.0</v>
      </c>
      <c r="F480" s="51" t="s">
        <v>42</v>
      </c>
      <c r="G480" s="40"/>
      <c r="H480" s="40"/>
    </row>
    <row r="481" ht="12.75" customHeight="1">
      <c r="B481" s="17"/>
      <c r="C481" s="26"/>
      <c r="D481" s="17"/>
      <c r="E481" s="17"/>
      <c r="F481" s="26"/>
      <c r="G481" s="40"/>
      <c r="H481" s="40"/>
    </row>
    <row r="482" ht="12.75" customHeight="1">
      <c r="B482" s="40"/>
      <c r="C482" s="40"/>
      <c r="D482" s="52" t="s">
        <v>43</v>
      </c>
      <c r="E482" s="40"/>
      <c r="F482" s="40"/>
      <c r="G482" s="40"/>
      <c r="H482" s="40"/>
    </row>
    <row r="483" ht="12.75" customHeight="1">
      <c r="B483" s="40"/>
      <c r="C483" s="40"/>
      <c r="D483" s="40"/>
      <c r="E483" s="40"/>
      <c r="F483" s="40"/>
      <c r="G483" s="40"/>
      <c r="H483" s="40"/>
    </row>
    <row r="484" ht="12.75" customHeight="1">
      <c r="B484" s="53" t="s">
        <v>44</v>
      </c>
      <c r="D484" s="53" t="s">
        <v>45</v>
      </c>
      <c r="E484" s="53" t="s">
        <v>46</v>
      </c>
      <c r="G484" s="53" t="s">
        <v>47</v>
      </c>
    </row>
    <row r="485" ht="12.75" customHeight="1">
      <c r="B485" s="46" t="s">
        <v>23</v>
      </c>
      <c r="C485" s="46"/>
      <c r="D485" s="13">
        <v>0.0</v>
      </c>
      <c r="E485" s="33">
        <f>IF(C478=1,D485*1620*0.9,IF(C478=2,D485*1820*0.9,D485*2020*0.9))</f>
        <v>0</v>
      </c>
      <c r="F485" s="17"/>
      <c r="G485" s="34">
        <v>0.0</v>
      </c>
      <c r="H485" s="17"/>
    </row>
    <row r="486" ht="12.75" customHeight="1">
      <c r="B486" s="46" t="s">
        <v>48</v>
      </c>
      <c r="C486" s="46"/>
      <c r="D486" s="13">
        <v>0.0</v>
      </c>
      <c r="E486" s="36">
        <f>D486*500*0.9</f>
        <v>0</v>
      </c>
      <c r="F486" s="20"/>
      <c r="G486" s="34">
        <v>0.0</v>
      </c>
      <c r="H486" s="17"/>
    </row>
    <row r="487" ht="12.75" customHeight="1">
      <c r="B487" s="46"/>
      <c r="C487" s="46"/>
      <c r="D487" s="46"/>
      <c r="E487" s="54"/>
      <c r="F487" s="17"/>
      <c r="G487" s="54"/>
      <c r="H487" s="17"/>
    </row>
    <row r="488" ht="12.75" customHeight="1">
      <c r="B488" s="46"/>
      <c r="C488" s="46"/>
      <c r="D488" s="46"/>
      <c r="E488" s="54"/>
      <c r="F488" s="17"/>
      <c r="G488" s="54"/>
      <c r="H488" s="17"/>
    </row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</sheetData>
  <mergeCells count="399">
    <mergeCell ref="E59:F59"/>
    <mergeCell ref="G59:H59"/>
    <mergeCell ref="E60:F60"/>
    <mergeCell ref="G60:H60"/>
    <mergeCell ref="E61:F61"/>
    <mergeCell ref="G61:H61"/>
    <mergeCell ref="E62:F62"/>
    <mergeCell ref="G62:H62"/>
    <mergeCell ref="B67:H68"/>
    <mergeCell ref="C73:D73"/>
    <mergeCell ref="C74:D74"/>
    <mergeCell ref="B76:C77"/>
    <mergeCell ref="D76:E77"/>
    <mergeCell ref="F76:F77"/>
    <mergeCell ref="B80:C80"/>
    <mergeCell ref="E80:F80"/>
    <mergeCell ref="G80:H80"/>
    <mergeCell ref="E81:F81"/>
    <mergeCell ref="G81:H81"/>
    <mergeCell ref="E82:F82"/>
    <mergeCell ref="G82:H82"/>
    <mergeCell ref="E83:F83"/>
    <mergeCell ref="G83:H83"/>
    <mergeCell ref="E84:F84"/>
    <mergeCell ref="G84:H84"/>
    <mergeCell ref="B89:H90"/>
    <mergeCell ref="C95:D95"/>
    <mergeCell ref="C96:D96"/>
    <mergeCell ref="B98:C99"/>
    <mergeCell ref="D98:E99"/>
    <mergeCell ref="F98:F99"/>
    <mergeCell ref="B102:C102"/>
    <mergeCell ref="E102:F102"/>
    <mergeCell ref="G102:H102"/>
    <mergeCell ref="G103:H103"/>
    <mergeCell ref="E103:F103"/>
    <mergeCell ref="E104:F104"/>
    <mergeCell ref="G104:H104"/>
    <mergeCell ref="E105:F105"/>
    <mergeCell ref="G105:H105"/>
    <mergeCell ref="E106:F106"/>
    <mergeCell ref="G106:H106"/>
    <mergeCell ref="B1:H2"/>
    <mergeCell ref="C7:D7"/>
    <mergeCell ref="C8:D8"/>
    <mergeCell ref="B10:C11"/>
    <mergeCell ref="D10:E11"/>
    <mergeCell ref="F10:F11"/>
    <mergeCell ref="B14:C14"/>
    <mergeCell ref="E14:F14"/>
    <mergeCell ref="G14:H14"/>
    <mergeCell ref="E15:F15"/>
    <mergeCell ref="G15:H15"/>
    <mergeCell ref="E16:F16"/>
    <mergeCell ref="G16:H16"/>
    <mergeCell ref="G17:H17"/>
    <mergeCell ref="G18:H18"/>
    <mergeCell ref="E17:F17"/>
    <mergeCell ref="E18:F18"/>
    <mergeCell ref="B23:H24"/>
    <mergeCell ref="C29:D29"/>
    <mergeCell ref="C30:D30"/>
    <mergeCell ref="D32:E33"/>
    <mergeCell ref="F32:F33"/>
    <mergeCell ref="B32:C33"/>
    <mergeCell ref="B36:C36"/>
    <mergeCell ref="E36:F36"/>
    <mergeCell ref="G36:H36"/>
    <mergeCell ref="E37:F37"/>
    <mergeCell ref="G37:H37"/>
    <mergeCell ref="G38:H38"/>
    <mergeCell ref="E38:F38"/>
    <mergeCell ref="E39:F39"/>
    <mergeCell ref="G39:H39"/>
    <mergeCell ref="E40:F40"/>
    <mergeCell ref="G40:H40"/>
    <mergeCell ref="B45:H46"/>
    <mergeCell ref="C51:D51"/>
    <mergeCell ref="C52:D52"/>
    <mergeCell ref="B54:C55"/>
    <mergeCell ref="D54:E55"/>
    <mergeCell ref="F54:F55"/>
    <mergeCell ref="B58:C58"/>
    <mergeCell ref="E58:F58"/>
    <mergeCell ref="G58:H58"/>
    <mergeCell ref="B111:H112"/>
    <mergeCell ref="B114:C114"/>
    <mergeCell ref="C117:D117"/>
    <mergeCell ref="C118:D118"/>
    <mergeCell ref="B120:C121"/>
    <mergeCell ref="D120:E121"/>
    <mergeCell ref="F120:F121"/>
    <mergeCell ref="E172:F172"/>
    <mergeCell ref="G172:H172"/>
    <mergeCell ref="B177:H178"/>
    <mergeCell ref="C183:D183"/>
    <mergeCell ref="C184:D184"/>
    <mergeCell ref="D186:E187"/>
    <mergeCell ref="F186:F187"/>
    <mergeCell ref="B186:C187"/>
    <mergeCell ref="B190:C190"/>
    <mergeCell ref="E190:F190"/>
    <mergeCell ref="G190:H190"/>
    <mergeCell ref="E191:F191"/>
    <mergeCell ref="G191:H191"/>
    <mergeCell ref="G192:H192"/>
    <mergeCell ref="B124:C124"/>
    <mergeCell ref="E124:F124"/>
    <mergeCell ref="G124:H124"/>
    <mergeCell ref="E125:F125"/>
    <mergeCell ref="G125:H125"/>
    <mergeCell ref="E126:F126"/>
    <mergeCell ref="G126:H126"/>
    <mergeCell ref="E127:F127"/>
    <mergeCell ref="G127:H127"/>
    <mergeCell ref="E128:F128"/>
    <mergeCell ref="G128:H128"/>
    <mergeCell ref="B133:H134"/>
    <mergeCell ref="C139:D139"/>
    <mergeCell ref="C140:D140"/>
    <mergeCell ref="B142:C143"/>
    <mergeCell ref="D142:E143"/>
    <mergeCell ref="F142:F143"/>
    <mergeCell ref="B146:C146"/>
    <mergeCell ref="E146:F146"/>
    <mergeCell ref="G146:H146"/>
    <mergeCell ref="G147:H147"/>
    <mergeCell ref="E147:F147"/>
    <mergeCell ref="E148:F148"/>
    <mergeCell ref="G148:H148"/>
    <mergeCell ref="E149:F149"/>
    <mergeCell ref="G149:H149"/>
    <mergeCell ref="E150:F150"/>
    <mergeCell ref="G150:H150"/>
    <mergeCell ref="B155:H156"/>
    <mergeCell ref="C161:D161"/>
    <mergeCell ref="C162:D162"/>
    <mergeCell ref="B164:C165"/>
    <mergeCell ref="D164:E165"/>
    <mergeCell ref="F164:F165"/>
    <mergeCell ref="G168:H168"/>
    <mergeCell ref="E168:F168"/>
    <mergeCell ref="E169:F169"/>
    <mergeCell ref="G169:H169"/>
    <mergeCell ref="E170:F170"/>
    <mergeCell ref="G170:H170"/>
    <mergeCell ref="E171:F171"/>
    <mergeCell ref="G171:H171"/>
    <mergeCell ref="E192:F192"/>
    <mergeCell ref="E193:F193"/>
    <mergeCell ref="G193:H193"/>
    <mergeCell ref="E194:F194"/>
    <mergeCell ref="G194:H194"/>
    <mergeCell ref="B199:H200"/>
    <mergeCell ref="B202:C202"/>
    <mergeCell ref="C205:D205"/>
    <mergeCell ref="C206:D206"/>
    <mergeCell ref="B208:C209"/>
    <mergeCell ref="D208:E209"/>
    <mergeCell ref="F208:F209"/>
    <mergeCell ref="B212:C212"/>
    <mergeCell ref="G212:H212"/>
    <mergeCell ref="E212:F212"/>
    <mergeCell ref="E213:F213"/>
    <mergeCell ref="G213:H213"/>
    <mergeCell ref="E214:F214"/>
    <mergeCell ref="G214:H214"/>
    <mergeCell ref="E215:F215"/>
    <mergeCell ref="G215:H215"/>
    <mergeCell ref="E216:F216"/>
    <mergeCell ref="G216:H216"/>
    <mergeCell ref="B221:H222"/>
    <mergeCell ref="C227:D227"/>
    <mergeCell ref="C228:D228"/>
    <mergeCell ref="D230:E231"/>
    <mergeCell ref="F230:F231"/>
    <mergeCell ref="B230:C231"/>
    <mergeCell ref="B234:C234"/>
    <mergeCell ref="E234:F234"/>
    <mergeCell ref="G234:H234"/>
    <mergeCell ref="E235:F235"/>
    <mergeCell ref="G235:H235"/>
    <mergeCell ref="G236:H236"/>
    <mergeCell ref="E236:F236"/>
    <mergeCell ref="E237:F237"/>
    <mergeCell ref="G237:H237"/>
    <mergeCell ref="E238:F238"/>
    <mergeCell ref="G238:H238"/>
    <mergeCell ref="B243:H244"/>
    <mergeCell ref="B246:C246"/>
    <mergeCell ref="C249:D249"/>
    <mergeCell ref="C250:D250"/>
    <mergeCell ref="B252:C253"/>
    <mergeCell ref="D252:E253"/>
    <mergeCell ref="F252:F253"/>
    <mergeCell ref="B256:C256"/>
    <mergeCell ref="G256:H256"/>
    <mergeCell ref="E256:F256"/>
    <mergeCell ref="E257:F257"/>
    <mergeCell ref="G257:H257"/>
    <mergeCell ref="E258:F258"/>
    <mergeCell ref="G258:H258"/>
    <mergeCell ref="E259:F259"/>
    <mergeCell ref="G259:H259"/>
    <mergeCell ref="E385:F385"/>
    <mergeCell ref="E386:F386"/>
    <mergeCell ref="B389:H390"/>
    <mergeCell ref="C395:D395"/>
    <mergeCell ref="C396:D396"/>
    <mergeCell ref="D398:E399"/>
    <mergeCell ref="F398:F399"/>
    <mergeCell ref="B398:C399"/>
    <mergeCell ref="B402:C402"/>
    <mergeCell ref="E402:F402"/>
    <mergeCell ref="G402:H402"/>
    <mergeCell ref="E403:F403"/>
    <mergeCell ref="G403:H403"/>
    <mergeCell ref="G404:H404"/>
    <mergeCell ref="E341:F341"/>
    <mergeCell ref="G341:H341"/>
    <mergeCell ref="E342:F342"/>
    <mergeCell ref="G342:H342"/>
    <mergeCell ref="E343:F343"/>
    <mergeCell ref="G343:H343"/>
    <mergeCell ref="G344:H344"/>
    <mergeCell ref="G345:H345"/>
    <mergeCell ref="E344:F344"/>
    <mergeCell ref="E345:F345"/>
    <mergeCell ref="B349:H350"/>
    <mergeCell ref="B352:C352"/>
    <mergeCell ref="C355:D355"/>
    <mergeCell ref="C356:D356"/>
    <mergeCell ref="B358:C359"/>
    <mergeCell ref="D358:E359"/>
    <mergeCell ref="F358:F359"/>
    <mergeCell ref="B362:C362"/>
    <mergeCell ref="E362:F362"/>
    <mergeCell ref="G362:H362"/>
    <mergeCell ref="E363:F363"/>
    <mergeCell ref="G363:H363"/>
    <mergeCell ref="E364:F364"/>
    <mergeCell ref="G364:H364"/>
    <mergeCell ref="E365:F365"/>
    <mergeCell ref="G365:H365"/>
    <mergeCell ref="E366:F366"/>
    <mergeCell ref="G366:H366"/>
    <mergeCell ref="B369:H370"/>
    <mergeCell ref="B372:C372"/>
    <mergeCell ref="C375:D375"/>
    <mergeCell ref="C376:D376"/>
    <mergeCell ref="B378:C379"/>
    <mergeCell ref="D378:E379"/>
    <mergeCell ref="F378:F379"/>
    <mergeCell ref="B382:C382"/>
    <mergeCell ref="E382:F382"/>
    <mergeCell ref="G382:H382"/>
    <mergeCell ref="E383:F383"/>
    <mergeCell ref="G383:H383"/>
    <mergeCell ref="E384:F384"/>
    <mergeCell ref="G384:H384"/>
    <mergeCell ref="G385:H385"/>
    <mergeCell ref="G386:H386"/>
    <mergeCell ref="B471:H472"/>
    <mergeCell ref="C477:D477"/>
    <mergeCell ref="C478:D478"/>
    <mergeCell ref="B480:C481"/>
    <mergeCell ref="D480:E481"/>
    <mergeCell ref="F480:F481"/>
    <mergeCell ref="B484:C484"/>
    <mergeCell ref="D317:E318"/>
    <mergeCell ref="F317:F318"/>
    <mergeCell ref="B321:C321"/>
    <mergeCell ref="E321:F321"/>
    <mergeCell ref="G321:H321"/>
    <mergeCell ref="E322:F322"/>
    <mergeCell ref="G322:H322"/>
    <mergeCell ref="E323:F323"/>
    <mergeCell ref="G323:H323"/>
    <mergeCell ref="E324:F324"/>
    <mergeCell ref="G324:H324"/>
    <mergeCell ref="E325:F325"/>
    <mergeCell ref="G325:H325"/>
    <mergeCell ref="B328:H329"/>
    <mergeCell ref="E260:F260"/>
    <mergeCell ref="G260:H260"/>
    <mergeCell ref="B265:H266"/>
    <mergeCell ref="B268:C268"/>
    <mergeCell ref="C271:D271"/>
    <mergeCell ref="C272:D272"/>
    <mergeCell ref="B274:C275"/>
    <mergeCell ref="D274:E275"/>
    <mergeCell ref="F274:F275"/>
    <mergeCell ref="B278:C278"/>
    <mergeCell ref="E278:F278"/>
    <mergeCell ref="G278:H278"/>
    <mergeCell ref="E279:F279"/>
    <mergeCell ref="G279:H279"/>
    <mergeCell ref="E280:F280"/>
    <mergeCell ref="G280:H280"/>
    <mergeCell ref="E281:F281"/>
    <mergeCell ref="G281:H281"/>
    <mergeCell ref="E282:F282"/>
    <mergeCell ref="G282:H282"/>
    <mergeCell ref="B286:H287"/>
    <mergeCell ref="B289:C289"/>
    <mergeCell ref="C292:D292"/>
    <mergeCell ref="C293:D293"/>
    <mergeCell ref="B295:C296"/>
    <mergeCell ref="D295:E296"/>
    <mergeCell ref="F295:F296"/>
    <mergeCell ref="B299:C299"/>
    <mergeCell ref="E299:F299"/>
    <mergeCell ref="G299:H299"/>
    <mergeCell ref="E300:F300"/>
    <mergeCell ref="G300:H300"/>
    <mergeCell ref="E301:F301"/>
    <mergeCell ref="G301:H301"/>
    <mergeCell ref="G302:H302"/>
    <mergeCell ref="G303:H303"/>
    <mergeCell ref="E302:F302"/>
    <mergeCell ref="E303:F303"/>
    <mergeCell ref="B308:H309"/>
    <mergeCell ref="B311:C311"/>
    <mergeCell ref="C314:D314"/>
    <mergeCell ref="C315:D315"/>
    <mergeCell ref="B317:C318"/>
    <mergeCell ref="B331:C331"/>
    <mergeCell ref="C334:D334"/>
    <mergeCell ref="C335:D335"/>
    <mergeCell ref="B337:C338"/>
    <mergeCell ref="D337:E338"/>
    <mergeCell ref="F337:F338"/>
    <mergeCell ref="B341:C341"/>
    <mergeCell ref="E404:F404"/>
    <mergeCell ref="E405:F405"/>
    <mergeCell ref="G405:H405"/>
    <mergeCell ref="E406:F406"/>
    <mergeCell ref="G406:H406"/>
    <mergeCell ref="B409:H410"/>
    <mergeCell ref="C415:D415"/>
    <mergeCell ref="C416:D416"/>
    <mergeCell ref="B418:C419"/>
    <mergeCell ref="D418:E419"/>
    <mergeCell ref="F418:F419"/>
    <mergeCell ref="B422:C422"/>
    <mergeCell ref="E422:F422"/>
    <mergeCell ref="G422:H422"/>
    <mergeCell ref="E423:F423"/>
    <mergeCell ref="G423:H423"/>
    <mergeCell ref="E424:F424"/>
    <mergeCell ref="G424:H424"/>
    <mergeCell ref="E425:F425"/>
    <mergeCell ref="G425:H425"/>
    <mergeCell ref="E426:F426"/>
    <mergeCell ref="G426:H426"/>
    <mergeCell ref="B430:H431"/>
    <mergeCell ref="C436:D436"/>
    <mergeCell ref="C437:D437"/>
    <mergeCell ref="B439:C440"/>
    <mergeCell ref="D439:E440"/>
    <mergeCell ref="F439:F440"/>
    <mergeCell ref="B443:C443"/>
    <mergeCell ref="E443:F443"/>
    <mergeCell ref="G443:H443"/>
    <mergeCell ref="E444:F444"/>
    <mergeCell ref="G444:H444"/>
    <mergeCell ref="E445:F445"/>
    <mergeCell ref="G445:H445"/>
    <mergeCell ref="E446:F446"/>
    <mergeCell ref="G446:H446"/>
    <mergeCell ref="E447:F447"/>
    <mergeCell ref="G447:H447"/>
    <mergeCell ref="B450:H451"/>
    <mergeCell ref="C456:D456"/>
    <mergeCell ref="C457:D457"/>
    <mergeCell ref="B459:C460"/>
    <mergeCell ref="D459:E460"/>
    <mergeCell ref="F459:F460"/>
    <mergeCell ref="B463:C463"/>
    <mergeCell ref="E463:F463"/>
    <mergeCell ref="G463:H463"/>
    <mergeCell ref="G464:H464"/>
    <mergeCell ref="E464:F464"/>
    <mergeCell ref="E465:F465"/>
    <mergeCell ref="G465:H465"/>
    <mergeCell ref="E466:F466"/>
    <mergeCell ref="G466:H466"/>
    <mergeCell ref="E467:F467"/>
    <mergeCell ref="G467:H467"/>
    <mergeCell ref="E487:F487"/>
    <mergeCell ref="E488:F488"/>
    <mergeCell ref="E484:F484"/>
    <mergeCell ref="G484:H484"/>
    <mergeCell ref="E485:F485"/>
    <mergeCell ref="G485:H485"/>
    <mergeCell ref="E486:F486"/>
    <mergeCell ref="G486:H486"/>
    <mergeCell ref="G487:H487"/>
    <mergeCell ref="G488:H488"/>
  </mergeCells>
  <printOptions/>
  <pageMargins bottom="0.1968503937007874" footer="0.0" header="0.0" left="0.4330708661417323" right="0.4330708661417323" top="0.196850393700787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2" width="18.43"/>
  </cols>
  <sheetData>
    <row r="1" ht="39.0" customHeight="1">
      <c r="A1" s="55" t="s">
        <v>71</v>
      </c>
      <c r="B1" s="56">
        <v>1.0</v>
      </c>
      <c r="C1" s="56">
        <v>2.0</v>
      </c>
      <c r="D1" s="56">
        <v>3.0</v>
      </c>
      <c r="E1" s="56">
        <v>4.0</v>
      </c>
      <c r="F1" s="57">
        <v>5.0</v>
      </c>
      <c r="G1" s="57">
        <v>6.0</v>
      </c>
      <c r="H1" s="57">
        <v>7.0</v>
      </c>
      <c r="I1" s="57">
        <v>8.0</v>
      </c>
      <c r="J1" s="57">
        <v>9.0</v>
      </c>
      <c r="K1" s="58">
        <v>10.0</v>
      </c>
      <c r="L1" s="56">
        <v>11.0</v>
      </c>
      <c r="M1" s="59">
        <v>12.0</v>
      </c>
      <c r="N1" s="60">
        <v>13.0</v>
      </c>
      <c r="O1" s="60">
        <v>14.0</v>
      </c>
      <c r="P1" s="60">
        <v>15.0</v>
      </c>
      <c r="Q1" s="60">
        <v>16.0</v>
      </c>
      <c r="R1" s="61">
        <v>17.0</v>
      </c>
      <c r="S1" s="59">
        <v>18.0</v>
      </c>
      <c r="T1" s="60">
        <v>19.0</v>
      </c>
      <c r="U1" s="60">
        <v>20.0</v>
      </c>
      <c r="V1" s="60">
        <v>21.0</v>
      </c>
      <c r="W1" s="60">
        <v>22.0</v>
      </c>
      <c r="X1" s="60">
        <v>23.0</v>
      </c>
      <c r="Y1" s="61">
        <v>24.0</v>
      </c>
      <c r="Z1" s="59">
        <v>25.0</v>
      </c>
      <c r="AA1" s="60">
        <v>26.0</v>
      </c>
      <c r="AB1" s="60">
        <v>27.0</v>
      </c>
      <c r="AC1" s="60">
        <v>28.0</v>
      </c>
      <c r="AD1" s="60">
        <v>29.0</v>
      </c>
      <c r="AE1" s="60">
        <v>30.0</v>
      </c>
      <c r="AF1" s="59">
        <v>31.0</v>
      </c>
    </row>
    <row r="2" ht="39.0" customHeight="1">
      <c r="A2" s="55" t="s">
        <v>33</v>
      </c>
      <c r="B2" s="55" t="s">
        <v>72</v>
      </c>
      <c r="C2" s="62"/>
      <c r="D2" s="62"/>
      <c r="E2" s="62"/>
      <c r="F2" s="55" t="s">
        <v>73</v>
      </c>
      <c r="G2" s="62"/>
      <c r="H2" s="62"/>
      <c r="I2" s="62"/>
      <c r="J2" s="62"/>
      <c r="K2" s="62"/>
      <c r="L2" s="62"/>
      <c r="M2" s="63"/>
      <c r="N2" s="63"/>
      <c r="O2" s="63"/>
      <c r="P2" s="63"/>
      <c r="Q2" s="64" t="s">
        <v>74</v>
      </c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</row>
    <row r="3" ht="39.0" customHeight="1">
      <c r="A3" s="55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</row>
    <row r="4" ht="39.0" customHeight="1">
      <c r="A4" s="55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</row>
    <row r="5" ht="39.0" customHeight="1">
      <c r="A5" s="55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</row>
    <row r="6" ht="39.0" customHeight="1">
      <c r="A6" s="55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</row>
    <row r="7" ht="39.0" customHeight="1">
      <c r="A7" s="5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</row>
    <row r="8" ht="39.0" customHeight="1">
      <c r="A8" s="55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ht="39.0" customHeight="1">
      <c r="A9" s="55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</row>
    <row r="10" ht="39.0" customHeight="1">
      <c r="A10" s="55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</row>
    <row r="11" ht="39.0" customHeight="1">
      <c r="A11" s="55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</row>
    <row r="12" ht="39.0" customHeight="1">
      <c r="A12" s="55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</row>
    <row r="13" ht="39.0" customHeight="1">
      <c r="A13" s="55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</row>
    <row r="14" ht="39.0" customHeight="1">
      <c r="A14" s="55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</row>
    <row r="15" ht="39.0" customHeight="1">
      <c r="A15" s="55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</row>
    <row r="16" ht="39.0" customHeight="1">
      <c r="A16" s="55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</row>
    <row r="17" ht="39.0" customHeight="1">
      <c r="A17" s="55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</row>
    <row r="18" ht="39.0" customHeight="1">
      <c r="A18" s="55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</row>
    <row r="19" ht="39.0" customHeight="1">
      <c r="A19" s="55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</row>
    <row r="20" ht="39.0" customHeight="1">
      <c r="A20" s="55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</row>
    <row r="21" ht="39.0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</row>
    <row r="22" ht="39.0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</row>
    <row r="23" ht="39.0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</row>
    <row r="24" ht="39.0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</row>
    <row r="25" ht="39.0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</row>
    <row r="26" ht="39.0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</row>
    <row r="27" ht="39.0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</row>
    <row r="28" ht="39.0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</row>
    <row r="29" ht="39.0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</row>
    <row r="30" ht="39.0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</row>
    <row r="31" ht="39.0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</row>
    <row r="32" ht="39.0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</row>
    <row r="33" ht="39.0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</row>
    <row r="34" ht="39.0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</row>
    <row r="35" ht="39.0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</row>
    <row r="36" ht="39.0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</row>
    <row r="37" ht="39.0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</row>
    <row r="38" ht="39.0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</row>
    <row r="39" ht="39.0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</row>
    <row r="40" ht="39.0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</row>
    <row r="41" ht="39.0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</row>
    <row r="42" ht="39.0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</row>
    <row r="43" ht="39.0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</row>
    <row r="44" ht="39.0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</row>
    <row r="45" ht="39.0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</row>
    <row r="46" ht="39.0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</row>
    <row r="47" ht="39.0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</row>
    <row r="48" ht="39.0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</row>
    <row r="49" ht="39.0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</row>
    <row r="50" ht="39.0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</row>
    <row r="51" ht="39.0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</row>
    <row r="52" ht="39.0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</row>
    <row r="53" ht="39.0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</row>
    <row r="54" ht="39.0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</row>
    <row r="55" ht="39.0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</row>
    <row r="56" ht="39.0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</row>
    <row r="57" ht="39.0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</row>
    <row r="58" ht="39.0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</row>
    <row r="59" ht="39.0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</row>
    <row r="60" ht="39.0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</row>
    <row r="61" ht="39.0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</row>
    <row r="62" ht="39.0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</row>
    <row r="63" ht="39.0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</row>
    <row r="64" ht="39.0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</row>
    <row r="65" ht="39.0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</row>
    <row r="66" ht="39.0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</row>
    <row r="67" ht="39.0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</row>
    <row r="68" ht="39.0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</row>
    <row r="69" ht="39.0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</row>
    <row r="70" ht="39.0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</row>
    <row r="71" ht="39.0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</row>
    <row r="72" ht="39.0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</row>
    <row r="73" ht="39.0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</row>
    <row r="74" ht="39.0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</row>
    <row r="75" ht="39.0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</row>
    <row r="76" ht="39.0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</row>
    <row r="77" ht="39.0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</row>
    <row r="78" ht="39.0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</row>
    <row r="79" ht="39.0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</row>
    <row r="80" ht="39.0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</row>
    <row r="81" ht="39.0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</row>
    <row r="82" ht="39.0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</row>
    <row r="83" ht="39.0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</row>
    <row r="84" ht="39.0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</row>
    <row r="85" ht="39.0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</row>
    <row r="86" ht="39.0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</row>
    <row r="87" ht="39.0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</row>
    <row r="88" ht="39.0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</row>
    <row r="89" ht="39.0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</row>
    <row r="90" ht="39.0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</row>
    <row r="91" ht="39.0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</row>
    <row r="92" ht="39.0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</row>
    <row r="93" ht="39.0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</row>
    <row r="94" ht="39.0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</row>
    <row r="95" ht="39.0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</row>
    <row r="96" ht="39.0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</row>
    <row r="97" ht="39.0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</row>
    <row r="98" ht="39.0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</row>
    <row r="99" ht="39.0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</row>
    <row r="100" ht="39.0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</row>
    <row r="101" ht="39.0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</row>
    <row r="102" ht="39.0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</row>
    <row r="103" ht="39.0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</row>
    <row r="104" ht="39.0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</row>
    <row r="105" ht="39.0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</row>
    <row r="106" ht="39.0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</row>
    <row r="107" ht="39.0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</row>
    <row r="108" ht="39.0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</row>
    <row r="109" ht="39.0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</row>
    <row r="110" ht="39.0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</row>
    <row r="111" ht="39.0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</row>
    <row r="112" ht="39.0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</row>
    <row r="113" ht="39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</row>
    <row r="114" ht="39.0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</row>
    <row r="115" ht="39.0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</row>
    <row r="116" ht="39.0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</row>
    <row r="117" ht="39.0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</row>
    <row r="118" ht="39.0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</row>
    <row r="119" ht="39.0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</row>
    <row r="120" ht="39.0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</row>
    <row r="121" ht="39.0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</row>
    <row r="122" ht="39.0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</row>
    <row r="123" ht="39.0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</row>
    <row r="124" ht="39.0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</row>
    <row r="125" ht="39.0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</row>
    <row r="126" ht="39.0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</row>
    <row r="127" ht="39.0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</row>
    <row r="128" ht="39.0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</row>
    <row r="129" ht="39.0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</row>
    <row r="130" ht="39.0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</row>
    <row r="131" ht="39.0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</row>
    <row r="132" ht="39.0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</row>
    <row r="133" ht="39.0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</row>
    <row r="134" ht="39.0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</row>
    <row r="135" ht="39.0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</row>
    <row r="136" ht="39.0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</row>
    <row r="137" ht="39.0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</row>
    <row r="138" ht="39.0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</row>
    <row r="139" ht="39.0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</row>
    <row r="140" ht="39.0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</row>
    <row r="141" ht="39.0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</row>
    <row r="142" ht="39.0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</row>
    <row r="143" ht="39.0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</row>
    <row r="144" ht="39.0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</row>
    <row r="145" ht="39.0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</row>
    <row r="146" ht="39.0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</row>
    <row r="147" ht="39.0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</row>
    <row r="148" ht="39.0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</row>
    <row r="149" ht="39.0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</row>
    <row r="150" ht="39.0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</row>
    <row r="151" ht="39.0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</row>
    <row r="152" ht="39.0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</row>
    <row r="153" ht="39.0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</row>
    <row r="154" ht="39.0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</row>
    <row r="155" ht="39.0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</row>
    <row r="156" ht="39.0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</row>
    <row r="157" ht="39.0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</row>
    <row r="158" ht="39.0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</row>
    <row r="159" ht="39.0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</row>
    <row r="160" ht="39.0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</row>
    <row r="161" ht="39.0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</row>
    <row r="162" ht="39.0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</row>
    <row r="163" ht="39.0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</row>
    <row r="164" ht="39.0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</row>
    <row r="165" ht="39.0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</row>
    <row r="166" ht="39.0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</row>
    <row r="167" ht="39.0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</row>
    <row r="168" ht="39.0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</row>
    <row r="169" ht="39.0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</row>
    <row r="170" ht="39.0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</row>
    <row r="171" ht="39.0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</row>
    <row r="172" ht="39.0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</row>
    <row r="173" ht="39.0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</row>
    <row r="174" ht="39.0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</row>
    <row r="175" ht="39.0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</row>
    <row r="176" ht="39.0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</row>
    <row r="177" ht="39.0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</row>
    <row r="178" ht="39.0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</row>
    <row r="179" ht="39.0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</row>
    <row r="180" ht="39.0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</row>
    <row r="181" ht="39.0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</row>
    <row r="182" ht="39.0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</row>
    <row r="183" ht="39.0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</row>
    <row r="184" ht="39.0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</row>
    <row r="185" ht="39.0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</row>
    <row r="186" ht="39.0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</row>
    <row r="187" ht="39.0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</row>
    <row r="188" ht="39.0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</row>
    <row r="189" ht="39.0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</row>
    <row r="190" ht="39.0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</row>
    <row r="191" ht="39.0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</row>
    <row r="192" ht="39.0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</row>
    <row r="193" ht="39.0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</row>
    <row r="194" ht="39.0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</row>
    <row r="195" ht="39.0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</row>
    <row r="196" ht="39.0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</row>
    <row r="197" ht="39.0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</row>
    <row r="198" ht="39.0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</row>
    <row r="199" ht="39.0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</row>
    <row r="200" ht="39.0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</row>
    <row r="201" ht="39.0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</row>
    <row r="202" ht="39.0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</row>
    <row r="203" ht="39.0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</row>
    <row r="204" ht="39.0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</row>
    <row r="205" ht="39.0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</row>
    <row r="206" ht="39.0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</row>
    <row r="207" ht="39.0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</row>
    <row r="208" ht="39.0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</row>
    <row r="209" ht="39.0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</row>
    <row r="210" ht="39.0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</row>
    <row r="211" ht="39.0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</row>
    <row r="212" ht="39.0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</row>
    <row r="213" ht="39.0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</row>
    <row r="214" ht="39.0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</row>
    <row r="215" ht="39.0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</row>
    <row r="216" ht="39.0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</row>
    <row r="217" ht="39.0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</row>
    <row r="218" ht="39.0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</row>
    <row r="219" ht="39.0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</row>
    <row r="220" ht="39.0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</row>
    <row r="221" ht="39.0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</row>
    <row r="222" ht="39.0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</row>
    <row r="223" ht="39.0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</row>
    <row r="224" ht="39.0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</row>
    <row r="225" ht="39.0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</row>
    <row r="226" ht="39.0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</row>
    <row r="227" ht="39.0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</row>
    <row r="228" ht="39.0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</row>
    <row r="229" ht="39.0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</row>
    <row r="230" ht="39.0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</row>
    <row r="231" ht="39.0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</row>
    <row r="232" ht="39.0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</row>
    <row r="233" ht="39.0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</row>
    <row r="234" ht="39.0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</row>
    <row r="235" ht="39.0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</row>
    <row r="236" ht="39.0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</row>
    <row r="237" ht="39.0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</row>
    <row r="238" ht="39.0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</row>
    <row r="239" ht="39.0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</row>
    <row r="240" ht="39.0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</row>
    <row r="241" ht="39.0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</row>
    <row r="242" ht="39.0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</row>
    <row r="243" ht="39.0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</row>
    <row r="244" ht="39.0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</row>
    <row r="245" ht="39.0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</row>
    <row r="246" ht="39.0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</row>
    <row r="247" ht="39.0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</row>
    <row r="248" ht="39.0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</row>
    <row r="249" ht="39.0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</row>
    <row r="250" ht="39.0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</row>
    <row r="251" ht="39.0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</row>
    <row r="252" ht="39.0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</row>
    <row r="253" ht="39.0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</row>
    <row r="254" ht="39.0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</row>
    <row r="255" ht="39.0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</row>
    <row r="256" ht="39.0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</row>
    <row r="257" ht="39.0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</row>
    <row r="258" ht="39.0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</row>
    <row r="259" ht="39.0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</row>
    <row r="260" ht="39.0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</row>
    <row r="261" ht="39.0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</row>
    <row r="262" ht="39.0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</row>
    <row r="263" ht="39.0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</row>
    <row r="264" ht="39.0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</row>
    <row r="265" ht="39.0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</row>
    <row r="266" ht="39.0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</row>
    <row r="267" ht="39.0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</row>
    <row r="268" ht="39.0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</row>
    <row r="269" ht="39.0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</row>
    <row r="270" ht="39.0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</row>
    <row r="271" ht="39.0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</row>
    <row r="272" ht="39.0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</row>
    <row r="273" ht="39.0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</row>
    <row r="274" ht="39.0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</row>
    <row r="275" ht="39.0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</row>
    <row r="276" ht="39.0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</row>
    <row r="277" ht="39.0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</row>
    <row r="278" ht="39.0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</row>
    <row r="279" ht="39.0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</row>
    <row r="280" ht="39.0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</row>
    <row r="281" ht="39.0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</row>
    <row r="282" ht="39.0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</row>
    <row r="283" ht="39.0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</row>
    <row r="284" ht="39.0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</row>
    <row r="285" ht="39.0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</row>
    <row r="286" ht="39.0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</row>
    <row r="287" ht="39.0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</row>
    <row r="288" ht="39.0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</row>
    <row r="289" ht="39.0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</row>
    <row r="290" ht="39.0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</row>
    <row r="291" ht="39.0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</row>
    <row r="292" ht="39.0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</row>
    <row r="293" ht="39.0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</row>
    <row r="294" ht="39.0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</row>
    <row r="295" ht="39.0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</row>
    <row r="296" ht="39.0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</row>
    <row r="297" ht="39.0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</row>
    <row r="298" ht="39.0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</row>
    <row r="299" ht="39.0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</row>
    <row r="300" ht="39.0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</row>
    <row r="301" ht="39.0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</row>
    <row r="302" ht="39.0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</row>
    <row r="303" ht="39.0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</row>
    <row r="304" ht="39.0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</row>
    <row r="305" ht="39.0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</row>
    <row r="306" ht="39.0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</row>
    <row r="307" ht="39.0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</row>
    <row r="308" ht="39.0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</row>
    <row r="309" ht="39.0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</row>
    <row r="310" ht="39.0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</row>
    <row r="311" ht="39.0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</row>
    <row r="312" ht="39.0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</row>
    <row r="313" ht="39.0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</row>
    <row r="314" ht="39.0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</row>
    <row r="315" ht="39.0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</row>
    <row r="316" ht="39.0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</row>
    <row r="317" ht="39.0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</row>
    <row r="318" ht="39.0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</row>
    <row r="319" ht="39.0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</row>
    <row r="320" ht="39.0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</row>
    <row r="321" ht="39.0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</row>
    <row r="322" ht="39.0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</row>
    <row r="323" ht="39.0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</row>
    <row r="324" ht="39.0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</row>
    <row r="325" ht="39.0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</row>
    <row r="326" ht="39.0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</row>
    <row r="327" ht="39.0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</row>
    <row r="328" ht="39.0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</row>
    <row r="329" ht="39.0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</row>
    <row r="330" ht="39.0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</row>
    <row r="331" ht="39.0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</row>
    <row r="332" ht="39.0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</row>
    <row r="333" ht="39.0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</row>
    <row r="334" ht="39.0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</row>
    <row r="335" ht="39.0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</row>
    <row r="336" ht="39.0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</row>
    <row r="337" ht="39.0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</row>
    <row r="338" ht="39.0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</row>
    <row r="339" ht="39.0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</row>
    <row r="340" ht="39.0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</row>
    <row r="341" ht="39.0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</row>
    <row r="342" ht="39.0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</row>
    <row r="343" ht="39.0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</row>
    <row r="344" ht="39.0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</row>
    <row r="345" ht="39.0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</row>
    <row r="346" ht="39.0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</row>
    <row r="347" ht="39.0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</row>
    <row r="348" ht="39.0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</row>
    <row r="349" ht="39.0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</row>
    <row r="350" ht="39.0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</row>
    <row r="351" ht="39.0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</row>
    <row r="352" ht="39.0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</row>
    <row r="353" ht="39.0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</row>
    <row r="354" ht="39.0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</row>
    <row r="355" ht="39.0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</row>
    <row r="356" ht="39.0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</row>
    <row r="357" ht="39.0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</row>
    <row r="358" ht="39.0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</row>
    <row r="359" ht="39.0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</row>
    <row r="360" ht="39.0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</row>
    <row r="361" ht="39.0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</row>
    <row r="362" ht="39.0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</row>
    <row r="363" ht="39.0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</row>
    <row r="364" ht="39.0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</row>
    <row r="365" ht="39.0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</row>
    <row r="366" ht="39.0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</row>
    <row r="367" ht="39.0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</row>
    <row r="368" ht="39.0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</row>
    <row r="369" ht="39.0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</row>
    <row r="370" ht="39.0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</row>
    <row r="371" ht="39.0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</row>
    <row r="372" ht="39.0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</row>
    <row r="373" ht="39.0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</row>
    <row r="374" ht="39.0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</row>
    <row r="375" ht="39.0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</row>
    <row r="376" ht="39.0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</row>
    <row r="377" ht="39.0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</row>
    <row r="378" ht="39.0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</row>
    <row r="379" ht="39.0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</row>
    <row r="380" ht="39.0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</row>
    <row r="381" ht="39.0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</row>
    <row r="382" ht="39.0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</row>
    <row r="383" ht="39.0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</row>
    <row r="384" ht="39.0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</row>
    <row r="385" ht="39.0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</row>
    <row r="386" ht="39.0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</row>
    <row r="387" ht="39.0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</row>
    <row r="388" ht="39.0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</row>
    <row r="389" ht="39.0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</row>
    <row r="390" ht="39.0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</row>
    <row r="391" ht="39.0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</row>
    <row r="392" ht="39.0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</row>
    <row r="393" ht="39.0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</row>
    <row r="394" ht="39.0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</row>
    <row r="395" ht="39.0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</row>
    <row r="396" ht="39.0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</row>
    <row r="397" ht="39.0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</row>
    <row r="398" ht="39.0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</row>
    <row r="399" ht="39.0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</row>
    <row r="400" ht="39.0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</row>
    <row r="401" ht="39.0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</row>
    <row r="402" ht="39.0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</row>
    <row r="403" ht="39.0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</row>
    <row r="404" ht="39.0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</row>
    <row r="405" ht="39.0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</row>
    <row r="406" ht="39.0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</row>
    <row r="407" ht="39.0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</row>
    <row r="408" ht="39.0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</row>
    <row r="409" ht="39.0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</row>
    <row r="410" ht="39.0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</row>
    <row r="411" ht="39.0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</row>
    <row r="412" ht="39.0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</row>
    <row r="413" ht="39.0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</row>
    <row r="414" ht="39.0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</row>
    <row r="415" ht="39.0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</row>
    <row r="416" ht="39.0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</row>
    <row r="417" ht="39.0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</row>
    <row r="418" ht="39.0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</row>
    <row r="419" ht="39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</row>
    <row r="420" ht="39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</row>
    <row r="421" ht="39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</row>
    <row r="422" ht="39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</row>
    <row r="423" ht="39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</row>
    <row r="424" ht="39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</row>
    <row r="425" ht="39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</row>
    <row r="426" ht="39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</row>
    <row r="427" ht="39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</row>
    <row r="428" ht="39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</row>
    <row r="429" ht="39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</row>
    <row r="430" ht="39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</row>
    <row r="431" ht="39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</row>
    <row r="432" ht="39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</row>
    <row r="433" ht="39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</row>
    <row r="434" ht="39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</row>
    <row r="435" ht="39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</row>
    <row r="436" ht="39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</row>
    <row r="437" ht="39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</row>
    <row r="438" ht="39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</row>
    <row r="439" ht="39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</row>
    <row r="440" ht="39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</row>
    <row r="441" ht="39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</row>
    <row r="442" ht="39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</row>
    <row r="443" ht="39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</row>
    <row r="444" ht="39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</row>
    <row r="445" ht="39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</row>
    <row r="446" ht="39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</row>
    <row r="447" ht="39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</row>
    <row r="448" ht="39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</row>
    <row r="449" ht="39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</row>
    <row r="450" ht="39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</row>
    <row r="451" ht="39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</row>
    <row r="452" ht="39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</row>
    <row r="453" ht="39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</row>
    <row r="454" ht="39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</row>
    <row r="455" ht="39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</row>
    <row r="456" ht="39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</row>
    <row r="457" ht="39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</row>
    <row r="458" ht="39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</row>
    <row r="459" ht="39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</row>
    <row r="460" ht="39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</row>
    <row r="461" ht="39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</row>
    <row r="462" ht="39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</row>
    <row r="463" ht="39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</row>
    <row r="464" ht="39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</row>
    <row r="465" ht="39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</row>
    <row r="466" ht="39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</row>
    <row r="467" ht="39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</row>
    <row r="468" ht="39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</row>
    <row r="469" ht="39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</row>
    <row r="470" ht="39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</row>
    <row r="471" ht="39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</row>
    <row r="472" ht="39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</row>
    <row r="473" ht="39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</row>
    <row r="474" ht="39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</row>
    <row r="475" ht="39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</row>
    <row r="476" ht="39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</row>
    <row r="477" ht="39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</row>
    <row r="478" ht="39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</row>
    <row r="479" ht="39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</row>
    <row r="480" ht="39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</row>
    <row r="481" ht="39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</row>
    <row r="482" ht="39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</row>
    <row r="483" ht="39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</row>
    <row r="484" ht="39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</row>
    <row r="485" ht="39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</row>
    <row r="486" ht="39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</row>
    <row r="487" ht="39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</row>
    <row r="488" ht="39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</row>
    <row r="489" ht="39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</row>
    <row r="490" ht="39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</row>
    <row r="491" ht="39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</row>
    <row r="492" ht="39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</row>
    <row r="493" ht="39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</row>
    <row r="494" ht="39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</row>
    <row r="495" ht="39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</row>
    <row r="496" ht="39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</row>
    <row r="497" ht="39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</row>
    <row r="498" ht="39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</row>
    <row r="499" ht="39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</row>
    <row r="500" ht="39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</row>
    <row r="501" ht="39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</row>
    <row r="502" ht="39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</row>
    <row r="503" ht="39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</row>
    <row r="504" ht="39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</row>
    <row r="505" ht="39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</row>
    <row r="506" ht="39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</row>
    <row r="507" ht="39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</row>
    <row r="508" ht="39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</row>
    <row r="509" ht="39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</row>
    <row r="510" ht="39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</row>
    <row r="511" ht="39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</row>
    <row r="512" ht="39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</row>
    <row r="513" ht="39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</row>
    <row r="514" ht="39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</row>
    <row r="515" ht="39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</row>
    <row r="516" ht="39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</row>
    <row r="517" ht="39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</row>
    <row r="518" ht="39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</row>
    <row r="519" ht="39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</row>
    <row r="520" ht="39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</row>
    <row r="521" ht="39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</row>
    <row r="522" ht="39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</row>
    <row r="523" ht="39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</row>
    <row r="524" ht="39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</row>
    <row r="525" ht="39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</row>
    <row r="526" ht="39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</row>
    <row r="527" ht="39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</row>
    <row r="528" ht="39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</row>
    <row r="529" ht="39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</row>
    <row r="530" ht="39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</row>
    <row r="531" ht="39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</row>
    <row r="532" ht="39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</row>
    <row r="533" ht="39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</row>
    <row r="534" ht="39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</row>
    <row r="535" ht="39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</row>
    <row r="536" ht="39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</row>
    <row r="537" ht="39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</row>
    <row r="538" ht="39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</row>
    <row r="539" ht="39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</row>
    <row r="540" ht="39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</row>
    <row r="541" ht="39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</row>
    <row r="542" ht="39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</row>
    <row r="543" ht="39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</row>
    <row r="544" ht="39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</row>
    <row r="545" ht="39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</row>
    <row r="546" ht="39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</row>
    <row r="547" ht="39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</row>
    <row r="548" ht="39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</row>
    <row r="549" ht="39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</row>
    <row r="550" ht="39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</row>
    <row r="551" ht="39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</row>
    <row r="552" ht="39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</row>
    <row r="553" ht="39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</row>
    <row r="554" ht="39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</row>
    <row r="555" ht="39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</row>
    <row r="556" ht="39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</row>
    <row r="557" ht="39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</row>
    <row r="558" ht="39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</row>
    <row r="559" ht="39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</row>
    <row r="560" ht="39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</row>
    <row r="561" ht="39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</row>
    <row r="562" ht="39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</row>
    <row r="563" ht="39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</row>
    <row r="564" ht="39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</row>
    <row r="565" ht="39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</row>
    <row r="566" ht="39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</row>
    <row r="567" ht="39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</row>
    <row r="568" ht="39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</row>
    <row r="569" ht="39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</row>
    <row r="570" ht="39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</row>
    <row r="571" ht="39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</row>
    <row r="572" ht="39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</row>
    <row r="573" ht="39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</row>
    <row r="574" ht="39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</row>
    <row r="575" ht="39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</row>
    <row r="576" ht="39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</row>
    <row r="577" ht="39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</row>
    <row r="578" ht="39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</row>
    <row r="579" ht="39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</row>
    <row r="580" ht="39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</row>
    <row r="581" ht="39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</row>
    <row r="582" ht="39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</row>
    <row r="583" ht="39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</row>
    <row r="584" ht="39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</row>
    <row r="585" ht="39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</row>
    <row r="586" ht="39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</row>
    <row r="587" ht="39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</row>
    <row r="588" ht="39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</row>
    <row r="589" ht="39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</row>
    <row r="590" ht="39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</row>
    <row r="591" ht="39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</row>
    <row r="592" ht="39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</row>
    <row r="593" ht="39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</row>
    <row r="594" ht="39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</row>
    <row r="595" ht="39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</row>
    <row r="596" ht="39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</row>
    <row r="597" ht="39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</row>
    <row r="598" ht="39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</row>
    <row r="599" ht="39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</row>
    <row r="600" ht="39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</row>
    <row r="601" ht="39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</row>
    <row r="602" ht="39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</row>
    <row r="603" ht="39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</row>
    <row r="604" ht="39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</row>
    <row r="605" ht="39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</row>
    <row r="606" ht="39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</row>
    <row r="607" ht="39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</row>
    <row r="608" ht="39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</row>
    <row r="609" ht="39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</row>
    <row r="610" ht="39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</row>
    <row r="611" ht="39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</row>
    <row r="612" ht="39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</row>
    <row r="613" ht="39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</row>
    <row r="614" ht="39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</row>
    <row r="615" ht="39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</row>
    <row r="616" ht="39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</row>
    <row r="617" ht="39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</row>
    <row r="618" ht="39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</row>
    <row r="619" ht="39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</row>
    <row r="620" ht="39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</row>
    <row r="621" ht="39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</row>
    <row r="622" ht="39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</row>
    <row r="623" ht="39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</row>
    <row r="624" ht="39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</row>
    <row r="625" ht="39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</row>
    <row r="626" ht="39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</row>
    <row r="627" ht="39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</row>
    <row r="628" ht="39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</row>
    <row r="629" ht="39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</row>
    <row r="630" ht="39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</row>
    <row r="631" ht="39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</row>
    <row r="632" ht="39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</row>
    <row r="633" ht="39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</row>
    <row r="634" ht="39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</row>
    <row r="635" ht="39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</row>
    <row r="636" ht="39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</row>
    <row r="637" ht="39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</row>
    <row r="638" ht="39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</row>
    <row r="639" ht="39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</row>
    <row r="640" ht="39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</row>
    <row r="641" ht="39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</row>
    <row r="642" ht="39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</row>
    <row r="643" ht="39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</row>
    <row r="644" ht="39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</row>
    <row r="645" ht="39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</row>
    <row r="646" ht="39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</row>
    <row r="647" ht="39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</row>
    <row r="648" ht="39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</row>
    <row r="649" ht="39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</row>
    <row r="650" ht="39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</row>
    <row r="651" ht="39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</row>
    <row r="652" ht="39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</row>
    <row r="653" ht="39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</row>
    <row r="654" ht="39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</row>
    <row r="655" ht="39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</row>
    <row r="656" ht="39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</row>
    <row r="657" ht="39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</row>
    <row r="658" ht="39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</row>
    <row r="659" ht="39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</row>
    <row r="660" ht="39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</row>
    <row r="661" ht="39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</row>
    <row r="662" ht="39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</row>
    <row r="663" ht="39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</row>
    <row r="664" ht="39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</row>
    <row r="665" ht="39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</row>
    <row r="666" ht="39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</row>
    <row r="667" ht="39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</row>
    <row r="668" ht="39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</row>
    <row r="669" ht="39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</row>
    <row r="670" ht="39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</row>
    <row r="671" ht="39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</row>
    <row r="672" ht="39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</row>
    <row r="673" ht="39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</row>
    <row r="674" ht="39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</row>
    <row r="675" ht="39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</row>
    <row r="676" ht="39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</row>
    <row r="677" ht="39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</row>
    <row r="678" ht="39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</row>
    <row r="679" ht="39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</row>
    <row r="680" ht="39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</row>
    <row r="681" ht="39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</row>
    <row r="682" ht="39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</row>
    <row r="683" ht="39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</row>
    <row r="684" ht="39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</row>
    <row r="685" ht="39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</row>
    <row r="686" ht="39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</row>
    <row r="687" ht="39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</row>
    <row r="688" ht="39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</row>
    <row r="689" ht="39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</row>
    <row r="690" ht="39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</row>
    <row r="691" ht="39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</row>
    <row r="692" ht="39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</row>
    <row r="693" ht="39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</row>
    <row r="694" ht="39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</row>
    <row r="695" ht="39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</row>
    <row r="696" ht="39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</row>
    <row r="697" ht="39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</row>
    <row r="698" ht="39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</row>
    <row r="699" ht="39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</row>
    <row r="700" ht="39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</row>
    <row r="701" ht="39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</row>
    <row r="702" ht="39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</row>
    <row r="703" ht="39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</row>
    <row r="704" ht="39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</row>
    <row r="705" ht="39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</row>
    <row r="706" ht="39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</row>
    <row r="707" ht="39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</row>
    <row r="708" ht="39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</row>
    <row r="709" ht="39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</row>
    <row r="710" ht="39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</row>
    <row r="711" ht="39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</row>
    <row r="712" ht="39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</row>
    <row r="713" ht="39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</row>
    <row r="714" ht="39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</row>
    <row r="715" ht="39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</row>
    <row r="716" ht="39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</row>
    <row r="717" ht="39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</row>
    <row r="718" ht="39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</row>
    <row r="719" ht="39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</row>
    <row r="720" ht="39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</row>
    <row r="721" ht="39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</row>
    <row r="722" ht="39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</row>
    <row r="723" ht="39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</row>
    <row r="724" ht="39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</row>
    <row r="725" ht="39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</row>
    <row r="726" ht="39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</row>
    <row r="727" ht="39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</row>
    <row r="728" ht="39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</row>
    <row r="729" ht="39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</row>
    <row r="730" ht="39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</row>
    <row r="731" ht="39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</row>
    <row r="732" ht="39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</row>
    <row r="733" ht="39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</row>
    <row r="734" ht="39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</row>
    <row r="735" ht="39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</row>
    <row r="736" ht="39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</row>
    <row r="737" ht="39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</row>
    <row r="738" ht="39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</row>
    <row r="739" ht="39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</row>
    <row r="740" ht="39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</row>
    <row r="741" ht="39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</row>
    <row r="742" ht="39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</row>
    <row r="743" ht="39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</row>
    <row r="744" ht="39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</row>
    <row r="745" ht="39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</row>
    <row r="746" ht="39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</row>
    <row r="747" ht="39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</row>
    <row r="748" ht="39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</row>
    <row r="749" ht="39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</row>
    <row r="750" ht="39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</row>
    <row r="751" ht="39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</row>
    <row r="752" ht="39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</row>
    <row r="753" ht="39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</row>
    <row r="754" ht="39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</row>
    <row r="755" ht="39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</row>
    <row r="756" ht="39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</row>
    <row r="757" ht="39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</row>
    <row r="758" ht="39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</row>
    <row r="759" ht="39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</row>
    <row r="760" ht="39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</row>
    <row r="761" ht="39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</row>
    <row r="762" ht="39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</row>
    <row r="763" ht="39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</row>
    <row r="764" ht="39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</row>
    <row r="765" ht="39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</row>
    <row r="766" ht="39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</row>
    <row r="767" ht="39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</row>
    <row r="768" ht="39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</row>
    <row r="769" ht="39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</row>
    <row r="770" ht="39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</row>
    <row r="771" ht="39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</row>
    <row r="772" ht="39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</row>
    <row r="773" ht="39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</row>
    <row r="774" ht="39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</row>
    <row r="775" ht="39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</row>
    <row r="776" ht="39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</row>
    <row r="777" ht="39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</row>
    <row r="778" ht="39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</row>
    <row r="779" ht="39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</row>
    <row r="780" ht="39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</row>
    <row r="781" ht="39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</row>
    <row r="782" ht="39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</row>
    <row r="783" ht="39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</row>
    <row r="784" ht="39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</row>
    <row r="785" ht="39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</row>
    <row r="786" ht="39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</row>
    <row r="787" ht="39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</row>
    <row r="788" ht="39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</row>
    <row r="789" ht="39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</row>
    <row r="790" ht="39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</row>
    <row r="791" ht="39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</row>
    <row r="792" ht="39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</row>
    <row r="793" ht="39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</row>
    <row r="794" ht="39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</row>
    <row r="795" ht="39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</row>
    <row r="796" ht="39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</row>
    <row r="797" ht="39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</row>
    <row r="798" ht="39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</row>
    <row r="799" ht="39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</row>
    <row r="800" ht="39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</row>
    <row r="801" ht="39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</row>
    <row r="802" ht="39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</row>
    <row r="803" ht="39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</row>
    <row r="804" ht="39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</row>
    <row r="805" ht="39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</row>
    <row r="806" ht="39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</row>
    <row r="807" ht="39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</row>
    <row r="808" ht="39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</row>
    <row r="809" ht="39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</row>
    <row r="810" ht="39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</row>
    <row r="811" ht="39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</row>
    <row r="812" ht="39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</row>
    <row r="813" ht="39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</row>
    <row r="814" ht="39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</row>
    <row r="815" ht="39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</row>
    <row r="816" ht="39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</row>
    <row r="817" ht="39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</row>
    <row r="818" ht="39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</row>
    <row r="819" ht="39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</row>
    <row r="820" ht="39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</row>
    <row r="821" ht="39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</row>
    <row r="822" ht="39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</row>
    <row r="823" ht="39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</row>
    <row r="824" ht="39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</row>
    <row r="825" ht="39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</row>
    <row r="826" ht="39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</row>
    <row r="827" ht="39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</row>
    <row r="828" ht="39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</row>
    <row r="829" ht="39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</row>
    <row r="830" ht="39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</row>
    <row r="831" ht="39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</row>
    <row r="832" ht="39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</row>
    <row r="833" ht="39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</row>
    <row r="834" ht="39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</row>
    <row r="835" ht="39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</row>
    <row r="836" ht="39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</row>
    <row r="837" ht="39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</row>
    <row r="838" ht="39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</row>
    <row r="839" ht="39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</row>
    <row r="840" ht="39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</row>
    <row r="841" ht="39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</row>
    <row r="842" ht="39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</row>
    <row r="843" ht="39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</row>
    <row r="844" ht="39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</row>
    <row r="845" ht="39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</row>
    <row r="846" ht="39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</row>
    <row r="847" ht="39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</row>
    <row r="848" ht="39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</row>
    <row r="849" ht="39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</row>
    <row r="850" ht="39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</row>
    <row r="851" ht="39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</row>
    <row r="852" ht="39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</row>
    <row r="853" ht="39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</row>
    <row r="854" ht="39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</row>
    <row r="855" ht="39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</row>
    <row r="856" ht="39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</row>
    <row r="857" ht="39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</row>
    <row r="858" ht="39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</row>
    <row r="859" ht="39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</row>
    <row r="860" ht="39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</row>
    <row r="861" ht="39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</row>
    <row r="862" ht="39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</row>
    <row r="863" ht="39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</row>
    <row r="864" ht="39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</row>
    <row r="865" ht="39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</row>
    <row r="866" ht="39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</row>
    <row r="867" ht="39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</row>
    <row r="868" ht="39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</row>
    <row r="869" ht="39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</row>
    <row r="870" ht="39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</row>
    <row r="871" ht="39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</row>
    <row r="872" ht="39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</row>
    <row r="873" ht="39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</row>
    <row r="874" ht="39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</row>
    <row r="875" ht="39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</row>
    <row r="876" ht="39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</row>
    <row r="877" ht="39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</row>
    <row r="878" ht="39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</row>
    <row r="879" ht="39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</row>
    <row r="880" ht="39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</row>
    <row r="881" ht="39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</row>
    <row r="882" ht="39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</row>
    <row r="883" ht="39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</row>
    <row r="884" ht="39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</row>
    <row r="885" ht="39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</row>
    <row r="886" ht="39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</row>
    <row r="887" ht="39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</row>
    <row r="888" ht="39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</row>
    <row r="889" ht="39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</row>
    <row r="890" ht="39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</row>
    <row r="891" ht="39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</row>
    <row r="892" ht="39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</row>
    <row r="893" ht="39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</row>
    <row r="894" ht="39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</row>
    <row r="895" ht="39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</row>
    <row r="896" ht="39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</row>
    <row r="897" ht="39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</row>
    <row r="898" ht="39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</row>
    <row r="899" ht="39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</row>
    <row r="900" ht="39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</row>
    <row r="901" ht="39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</row>
    <row r="902" ht="39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</row>
    <row r="903" ht="39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</row>
    <row r="904" ht="39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</row>
    <row r="905" ht="39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</row>
    <row r="906" ht="39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</row>
    <row r="907" ht="39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</row>
    <row r="908" ht="39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</row>
    <row r="909" ht="39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</row>
    <row r="910" ht="39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</row>
    <row r="911" ht="39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</row>
    <row r="912" ht="39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</row>
    <row r="913" ht="39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</row>
    <row r="914" ht="39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</row>
    <row r="915" ht="39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</row>
    <row r="916" ht="39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</row>
    <row r="917" ht="39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</row>
    <row r="918" ht="39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</row>
    <row r="919" ht="39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</row>
    <row r="920" ht="39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</row>
    <row r="921" ht="39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</row>
    <row r="922" ht="39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</row>
    <row r="923" ht="39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</row>
    <row r="924" ht="39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</row>
    <row r="925" ht="39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</row>
    <row r="926" ht="39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</row>
    <row r="927" ht="39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</row>
    <row r="928" ht="39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</row>
    <row r="929" ht="39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</row>
    <row r="930" ht="39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</row>
    <row r="931" ht="39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</row>
    <row r="932" ht="39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</row>
    <row r="933" ht="39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</row>
    <row r="934" ht="39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</row>
    <row r="935" ht="39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</row>
    <row r="936" ht="39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</row>
    <row r="937" ht="39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</row>
    <row r="938" ht="39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</row>
    <row r="939" ht="39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</row>
    <row r="940" ht="39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</row>
    <row r="941" ht="39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</row>
    <row r="942" ht="39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</row>
    <row r="943" ht="39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</row>
    <row r="944" ht="39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</row>
    <row r="945" ht="39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</row>
    <row r="946" ht="39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</row>
    <row r="947" ht="39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</row>
    <row r="948" ht="39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</row>
    <row r="949" ht="39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</row>
    <row r="950" ht="39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</row>
    <row r="951" ht="39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</row>
    <row r="952" ht="39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</row>
    <row r="953" ht="39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</row>
    <row r="954" ht="39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</row>
    <row r="955" ht="39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</row>
    <row r="956" ht="39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</row>
    <row r="957" ht="39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</row>
    <row r="958" ht="39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</row>
    <row r="959" ht="39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</row>
    <row r="960" ht="39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</row>
    <row r="961" ht="39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</row>
    <row r="962" ht="39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</row>
    <row r="963" ht="39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</row>
    <row r="964" ht="39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</row>
    <row r="965" ht="39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</row>
    <row r="966" ht="39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</row>
    <row r="967" ht="39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</row>
    <row r="968" ht="39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</row>
    <row r="969" ht="39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</row>
    <row r="970" ht="39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</row>
    <row r="971" ht="39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</row>
    <row r="972" ht="39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</row>
    <row r="973" ht="39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</row>
    <row r="974" ht="39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</row>
    <row r="975" ht="39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</row>
    <row r="976" ht="39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</row>
    <row r="977" ht="39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</row>
    <row r="978" ht="39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</row>
    <row r="979" ht="39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</row>
    <row r="980" ht="39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</row>
    <row r="981" ht="39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</row>
    <row r="982" ht="39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</row>
    <row r="983" ht="39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</row>
    <row r="984" ht="39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</row>
    <row r="985" ht="39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</row>
    <row r="986" ht="39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</row>
    <row r="987" ht="39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</row>
    <row r="988" ht="39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</row>
    <row r="989" ht="39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</row>
    <row r="990" ht="39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</row>
    <row r="991" ht="39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</row>
    <row r="992" ht="39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</row>
    <row r="993" ht="39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</row>
    <row r="994" ht="39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</row>
    <row r="995" ht="39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</row>
    <row r="996" ht="39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</row>
    <row r="997" ht="39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</row>
    <row r="998" ht="39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</row>
    <row r="999" ht="39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</row>
    <row r="1000" ht="39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</row>
  </sheetData>
  <printOptions gridLines="1" horizontalCentered="1"/>
  <pageMargins bottom="0.0" footer="0.0" header="0.0" left="0.0" right="0.0" top="0.0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1.57"/>
    <col customWidth="1" min="7" max="7" width="2.43"/>
    <col customWidth="1" min="8" max="17" width="1.57"/>
    <col customWidth="1" min="18" max="18" width="1.71"/>
    <col customWidth="1" min="19" max="27" width="1.57"/>
    <col customWidth="1" min="28" max="28" width="1.29"/>
    <col customWidth="1" min="29" max="33" width="1.57"/>
    <col customWidth="1" min="34" max="34" width="1.43"/>
    <col customWidth="1" min="35" max="75" width="1.57"/>
  </cols>
  <sheetData>
    <row r="1" ht="42.75" customHeight="1">
      <c r="A1" s="65"/>
      <c r="B1" s="66"/>
      <c r="C1" s="66"/>
      <c r="D1" s="67"/>
      <c r="E1" s="68"/>
      <c r="F1" s="68"/>
      <c r="G1" s="68"/>
      <c r="H1" s="68"/>
      <c r="I1" s="68"/>
      <c r="J1" s="68"/>
      <c r="K1" s="68"/>
      <c r="L1" s="68"/>
      <c r="M1" s="68"/>
      <c r="N1" s="68"/>
      <c r="O1" s="66"/>
      <c r="P1" s="66"/>
      <c r="Q1" s="66"/>
      <c r="R1" s="66"/>
      <c r="S1" s="69" t="s">
        <v>75</v>
      </c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</row>
    <row r="2" ht="23.25" customHeight="1">
      <c r="A2" s="66"/>
      <c r="B2" s="70" t="s">
        <v>76</v>
      </c>
      <c r="C2" s="71"/>
      <c r="D2" s="71"/>
      <c r="E2" s="71"/>
      <c r="F2" s="71"/>
      <c r="G2" s="72"/>
      <c r="H2" s="73"/>
      <c r="I2" s="71"/>
      <c r="J2" s="71"/>
      <c r="K2" s="71"/>
      <c r="L2" s="71"/>
      <c r="M2" s="71"/>
      <c r="N2" s="71"/>
      <c r="O2" s="71"/>
      <c r="P2" s="71"/>
      <c r="Q2" s="72"/>
      <c r="R2" s="74" t="s">
        <v>77</v>
      </c>
      <c r="S2" s="71"/>
      <c r="T2" s="71"/>
      <c r="U2" s="71"/>
      <c r="V2" s="71"/>
      <c r="W2" s="71"/>
      <c r="X2" s="71"/>
      <c r="Y2" s="71"/>
      <c r="Z2" s="71"/>
      <c r="AA2" s="71"/>
      <c r="AB2" s="72"/>
      <c r="AC2" s="75"/>
      <c r="AD2" s="71"/>
      <c r="AE2" s="71"/>
      <c r="AF2" s="71"/>
      <c r="AG2" s="71"/>
      <c r="AH2" s="71"/>
      <c r="AI2" s="71"/>
      <c r="AJ2" s="71"/>
      <c r="AK2" s="71"/>
      <c r="AL2" s="71"/>
      <c r="AM2" s="72"/>
      <c r="AN2" s="76" t="s">
        <v>78</v>
      </c>
      <c r="AO2" s="71"/>
      <c r="AP2" s="71"/>
      <c r="AQ2" s="71"/>
      <c r="AR2" s="71"/>
      <c r="AS2" s="71"/>
      <c r="AT2" s="72"/>
      <c r="AU2" s="77" t="s">
        <v>79</v>
      </c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8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</row>
    <row r="3" ht="8.25" customHeight="1">
      <c r="A3" s="66"/>
      <c r="B3" s="80"/>
      <c r="C3" s="17"/>
      <c r="D3" s="17"/>
      <c r="E3" s="17"/>
      <c r="F3" s="17"/>
      <c r="G3" s="26"/>
      <c r="H3" s="25"/>
      <c r="I3" s="17"/>
      <c r="J3" s="17"/>
      <c r="K3" s="17"/>
      <c r="L3" s="17"/>
      <c r="M3" s="17"/>
      <c r="N3" s="17"/>
      <c r="O3" s="17"/>
      <c r="P3" s="17"/>
      <c r="Q3" s="26"/>
      <c r="R3" s="25"/>
      <c r="S3" s="17"/>
      <c r="T3" s="17"/>
      <c r="U3" s="17"/>
      <c r="V3" s="17"/>
      <c r="W3" s="17"/>
      <c r="X3" s="17"/>
      <c r="Y3" s="17"/>
      <c r="Z3" s="17"/>
      <c r="AA3" s="17"/>
      <c r="AB3" s="26"/>
      <c r="AC3" s="25"/>
      <c r="AD3" s="17"/>
      <c r="AE3" s="17"/>
      <c r="AF3" s="17"/>
      <c r="AG3" s="17"/>
      <c r="AH3" s="17"/>
      <c r="AI3" s="17"/>
      <c r="AJ3" s="17"/>
      <c r="AK3" s="17"/>
      <c r="AL3" s="17"/>
      <c r="AM3" s="26"/>
      <c r="AN3" s="81"/>
      <c r="AT3" s="49"/>
      <c r="AU3" s="81"/>
      <c r="BH3" s="82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</row>
    <row r="4" ht="15.0" customHeight="1">
      <c r="A4" s="66"/>
      <c r="B4" s="83" t="s">
        <v>80</v>
      </c>
      <c r="C4" s="22"/>
      <c r="D4" s="22"/>
      <c r="E4" s="22"/>
      <c r="F4" s="22"/>
      <c r="G4" s="84"/>
      <c r="H4" s="8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84"/>
      <c r="AN4" s="81"/>
      <c r="AT4" s="49"/>
      <c r="AU4" s="81"/>
      <c r="BH4" s="82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</row>
    <row r="5" ht="12.0" customHeight="1">
      <c r="A5" s="66"/>
      <c r="B5" s="86"/>
      <c r="G5" s="49"/>
      <c r="H5" s="81"/>
      <c r="AM5" s="49"/>
      <c r="AN5" s="81"/>
      <c r="AT5" s="49"/>
      <c r="AU5" s="81"/>
      <c r="BH5" s="82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</row>
    <row r="6" ht="4.5" customHeight="1">
      <c r="A6" s="66"/>
      <c r="B6" s="87"/>
      <c r="C6" s="68"/>
      <c r="D6" s="68"/>
      <c r="E6" s="68"/>
      <c r="F6" s="68"/>
      <c r="G6" s="88"/>
      <c r="H6" s="89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88"/>
      <c r="AN6" s="89"/>
      <c r="AO6" s="68"/>
      <c r="AP6" s="68"/>
      <c r="AQ6" s="68"/>
      <c r="AR6" s="68"/>
      <c r="AS6" s="68"/>
      <c r="AT6" s="88"/>
      <c r="AU6" s="89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90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</row>
    <row r="7" ht="6.7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</row>
    <row r="8" ht="15.0" customHeight="1">
      <c r="A8" s="66"/>
      <c r="B8" s="91" t="s">
        <v>81</v>
      </c>
      <c r="C8" s="71"/>
      <c r="D8" s="71"/>
      <c r="E8" s="72"/>
      <c r="F8" s="92" t="s">
        <v>82</v>
      </c>
      <c r="G8" s="71"/>
      <c r="H8" s="71"/>
      <c r="I8" s="72"/>
      <c r="J8" s="93" t="s">
        <v>83</v>
      </c>
      <c r="K8" s="94"/>
      <c r="L8" s="94"/>
      <c r="M8" s="94"/>
      <c r="N8" s="94"/>
      <c r="O8" s="94"/>
      <c r="P8" s="94"/>
      <c r="Q8" s="94"/>
      <c r="R8" s="94"/>
      <c r="S8" s="94"/>
      <c r="T8" s="94"/>
      <c r="U8" s="95"/>
      <c r="V8" s="96" t="s">
        <v>84</v>
      </c>
      <c r="W8" s="71"/>
      <c r="X8" s="71"/>
      <c r="Y8" s="71"/>
      <c r="Z8" s="71"/>
      <c r="AA8" s="72"/>
      <c r="AB8" s="97" t="s">
        <v>85</v>
      </c>
      <c r="AC8" s="71"/>
      <c r="AD8" s="71"/>
      <c r="AE8" s="71"/>
      <c r="AF8" s="71"/>
      <c r="AG8" s="72"/>
      <c r="AH8" s="98" t="s">
        <v>46</v>
      </c>
      <c r="AI8" s="71"/>
      <c r="AJ8" s="71"/>
      <c r="AK8" s="71"/>
      <c r="AL8" s="71"/>
      <c r="AM8" s="72"/>
      <c r="AN8" s="96" t="s">
        <v>86</v>
      </c>
      <c r="AO8" s="71"/>
      <c r="AP8" s="71"/>
      <c r="AQ8" s="71"/>
      <c r="AR8" s="71"/>
      <c r="AS8" s="72"/>
      <c r="AT8" s="96" t="s">
        <v>87</v>
      </c>
      <c r="AU8" s="71"/>
      <c r="AV8" s="71"/>
      <c r="AW8" s="71"/>
      <c r="AX8" s="71"/>
      <c r="AY8" s="72"/>
      <c r="AZ8" s="99"/>
      <c r="BA8" s="71"/>
      <c r="BB8" s="71"/>
      <c r="BC8" s="71"/>
      <c r="BD8" s="71"/>
      <c r="BE8" s="71"/>
      <c r="BF8" s="71"/>
      <c r="BG8" s="71"/>
      <c r="BH8" s="78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</row>
    <row r="9" ht="15.0" customHeight="1">
      <c r="A9" s="66"/>
      <c r="B9" s="86"/>
      <c r="E9" s="49"/>
      <c r="F9" s="81"/>
      <c r="I9" s="49"/>
      <c r="J9" s="100" t="s">
        <v>88</v>
      </c>
      <c r="K9" s="22"/>
      <c r="L9" s="22"/>
      <c r="M9" s="22"/>
      <c r="N9" s="22"/>
      <c r="O9" s="84"/>
      <c r="P9" s="100" t="s">
        <v>89</v>
      </c>
      <c r="Q9" s="22"/>
      <c r="R9" s="22"/>
      <c r="S9" s="22"/>
      <c r="T9" s="22"/>
      <c r="U9" s="84"/>
      <c r="V9" s="81"/>
      <c r="AA9" s="49"/>
      <c r="AB9" s="81"/>
      <c r="AG9" s="49"/>
      <c r="AH9" s="81"/>
      <c r="AM9" s="49"/>
      <c r="AN9" s="81"/>
      <c r="AS9" s="49"/>
      <c r="AT9" s="81"/>
      <c r="AY9" s="49"/>
      <c r="AZ9" s="81"/>
      <c r="BH9" s="82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</row>
    <row r="10" ht="15.0" customHeight="1">
      <c r="A10" s="66"/>
      <c r="B10" s="80"/>
      <c r="C10" s="17"/>
      <c r="D10" s="17"/>
      <c r="E10" s="26"/>
      <c r="F10" s="25"/>
      <c r="G10" s="17"/>
      <c r="H10" s="17"/>
      <c r="I10" s="26"/>
      <c r="J10" s="25"/>
      <c r="K10" s="17"/>
      <c r="L10" s="17"/>
      <c r="M10" s="17"/>
      <c r="N10" s="17"/>
      <c r="O10" s="26"/>
      <c r="P10" s="25"/>
      <c r="Q10" s="17"/>
      <c r="R10" s="17"/>
      <c r="S10" s="17"/>
      <c r="T10" s="17"/>
      <c r="U10" s="26"/>
      <c r="V10" s="25"/>
      <c r="W10" s="17"/>
      <c r="X10" s="17"/>
      <c r="Y10" s="17"/>
      <c r="Z10" s="17"/>
      <c r="AA10" s="26"/>
      <c r="AB10" s="25"/>
      <c r="AC10" s="17"/>
      <c r="AD10" s="17"/>
      <c r="AE10" s="17"/>
      <c r="AF10" s="17"/>
      <c r="AG10" s="26"/>
      <c r="AH10" s="25"/>
      <c r="AI10" s="17"/>
      <c r="AJ10" s="17"/>
      <c r="AK10" s="17"/>
      <c r="AL10" s="17"/>
      <c r="AM10" s="26"/>
      <c r="AN10" s="25"/>
      <c r="AO10" s="17"/>
      <c r="AP10" s="17"/>
      <c r="AQ10" s="17"/>
      <c r="AR10" s="17"/>
      <c r="AS10" s="26"/>
      <c r="AT10" s="25"/>
      <c r="AU10" s="17"/>
      <c r="AV10" s="17"/>
      <c r="AW10" s="17"/>
      <c r="AX10" s="17"/>
      <c r="AY10" s="26"/>
      <c r="AZ10" s="25"/>
      <c r="BA10" s="17"/>
      <c r="BB10" s="17"/>
      <c r="BC10" s="17"/>
      <c r="BD10" s="17"/>
      <c r="BE10" s="17"/>
      <c r="BF10" s="17"/>
      <c r="BG10" s="17"/>
      <c r="BH10" s="101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</row>
    <row r="11" ht="30.0" customHeight="1">
      <c r="A11" s="66"/>
      <c r="B11" s="102"/>
      <c r="C11" s="20"/>
      <c r="D11" s="20"/>
      <c r="E11" s="20"/>
      <c r="F11" s="103"/>
      <c r="G11" s="20"/>
      <c r="H11" s="20"/>
      <c r="I11" s="104"/>
      <c r="J11" s="105"/>
      <c r="K11" s="20"/>
      <c r="L11" s="20"/>
      <c r="M11" s="20"/>
      <c r="N11" s="20"/>
      <c r="O11" s="104"/>
      <c r="P11" s="105"/>
      <c r="Q11" s="20"/>
      <c r="R11" s="20"/>
      <c r="S11" s="20"/>
      <c r="T11" s="20"/>
      <c r="U11" s="104"/>
      <c r="V11" s="103"/>
      <c r="W11" s="20"/>
      <c r="X11" s="20"/>
      <c r="Y11" s="20"/>
      <c r="Z11" s="20"/>
      <c r="AA11" s="104"/>
      <c r="AB11" s="106"/>
      <c r="AC11" s="20"/>
      <c r="AD11" s="20"/>
      <c r="AE11" s="20"/>
      <c r="AF11" s="20"/>
      <c r="AG11" s="104"/>
      <c r="AH11" s="106"/>
      <c r="AI11" s="20"/>
      <c r="AJ11" s="20"/>
      <c r="AK11" s="20"/>
      <c r="AL11" s="20"/>
      <c r="AM11" s="104"/>
      <c r="AN11" s="106"/>
      <c r="AO11" s="20"/>
      <c r="AP11" s="20"/>
      <c r="AQ11" s="20"/>
      <c r="AR11" s="20"/>
      <c r="AS11" s="104"/>
      <c r="AT11" s="107"/>
      <c r="AU11" s="20"/>
      <c r="AV11" s="20"/>
      <c r="AW11" s="20"/>
      <c r="AX11" s="20"/>
      <c r="AY11" s="104"/>
      <c r="AZ11" s="107"/>
      <c r="BA11" s="20"/>
      <c r="BB11" s="20"/>
      <c r="BC11" s="20"/>
      <c r="BD11" s="20"/>
      <c r="BE11" s="20"/>
      <c r="BF11" s="20"/>
      <c r="BG11" s="20"/>
      <c r="BH11" s="10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</row>
    <row r="12" ht="30.0" customHeight="1">
      <c r="A12" s="66"/>
      <c r="B12" s="109"/>
      <c r="C12" s="20"/>
      <c r="D12" s="20"/>
      <c r="E12" s="20"/>
      <c r="F12" s="103"/>
      <c r="G12" s="20"/>
      <c r="H12" s="20"/>
      <c r="I12" s="104"/>
      <c r="J12" s="110"/>
      <c r="K12" s="20"/>
      <c r="L12" s="20"/>
      <c r="M12" s="20"/>
      <c r="N12" s="20"/>
      <c r="O12" s="104"/>
      <c r="P12" s="110"/>
      <c r="Q12" s="20"/>
      <c r="R12" s="20"/>
      <c r="S12" s="20"/>
      <c r="T12" s="20"/>
      <c r="U12" s="104"/>
      <c r="V12" s="111"/>
      <c r="W12" s="20"/>
      <c r="X12" s="20"/>
      <c r="Y12" s="20"/>
      <c r="Z12" s="20"/>
      <c r="AA12" s="104"/>
      <c r="AB12" s="106"/>
      <c r="AC12" s="20"/>
      <c r="AD12" s="20"/>
      <c r="AE12" s="20"/>
      <c r="AF12" s="20"/>
      <c r="AG12" s="104"/>
      <c r="AH12" s="106"/>
      <c r="AI12" s="20"/>
      <c r="AJ12" s="20"/>
      <c r="AK12" s="20"/>
      <c r="AL12" s="20"/>
      <c r="AM12" s="104"/>
      <c r="AN12" s="106"/>
      <c r="AO12" s="20"/>
      <c r="AP12" s="20"/>
      <c r="AQ12" s="20"/>
      <c r="AR12" s="20"/>
      <c r="AS12" s="104"/>
      <c r="AT12" s="107"/>
      <c r="AU12" s="20"/>
      <c r="AV12" s="20"/>
      <c r="AW12" s="20"/>
      <c r="AX12" s="20"/>
      <c r="AY12" s="104"/>
      <c r="AZ12" s="103"/>
      <c r="BA12" s="20"/>
      <c r="BB12" s="20"/>
      <c r="BC12" s="20"/>
      <c r="BD12" s="20"/>
      <c r="BE12" s="20"/>
      <c r="BF12" s="20"/>
      <c r="BG12" s="20"/>
      <c r="BH12" s="10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</row>
    <row r="13" ht="30.0" customHeight="1">
      <c r="A13" s="66"/>
      <c r="B13" s="102"/>
      <c r="C13" s="20"/>
      <c r="D13" s="20"/>
      <c r="E13" s="20"/>
      <c r="F13" s="103"/>
      <c r="G13" s="20"/>
      <c r="H13" s="20"/>
      <c r="I13" s="104"/>
      <c r="J13" s="105"/>
      <c r="K13" s="20"/>
      <c r="L13" s="20"/>
      <c r="M13" s="20"/>
      <c r="N13" s="20"/>
      <c r="O13" s="104"/>
      <c r="P13" s="105"/>
      <c r="Q13" s="20"/>
      <c r="R13" s="20"/>
      <c r="S13" s="20"/>
      <c r="T13" s="20"/>
      <c r="U13" s="104"/>
      <c r="V13" s="111"/>
      <c r="W13" s="20"/>
      <c r="X13" s="20"/>
      <c r="Y13" s="20"/>
      <c r="Z13" s="20"/>
      <c r="AA13" s="104"/>
      <c r="AB13" s="106"/>
      <c r="AC13" s="20"/>
      <c r="AD13" s="20"/>
      <c r="AE13" s="20"/>
      <c r="AF13" s="20"/>
      <c r="AG13" s="104"/>
      <c r="AH13" s="106"/>
      <c r="AI13" s="20"/>
      <c r="AJ13" s="20"/>
      <c r="AK13" s="20"/>
      <c r="AL13" s="20"/>
      <c r="AM13" s="104"/>
      <c r="AN13" s="106"/>
      <c r="AO13" s="20"/>
      <c r="AP13" s="20"/>
      <c r="AQ13" s="20"/>
      <c r="AR13" s="20"/>
      <c r="AS13" s="104"/>
      <c r="AT13" s="107"/>
      <c r="AU13" s="20"/>
      <c r="AV13" s="20"/>
      <c r="AW13" s="20"/>
      <c r="AX13" s="20"/>
      <c r="AY13" s="104"/>
      <c r="AZ13" s="107"/>
      <c r="BA13" s="20"/>
      <c r="BB13" s="20"/>
      <c r="BC13" s="20"/>
      <c r="BD13" s="20"/>
      <c r="BE13" s="20"/>
      <c r="BF13" s="20"/>
      <c r="BG13" s="20"/>
      <c r="BH13" s="10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</row>
    <row r="14" ht="30.0" customHeight="1">
      <c r="A14" s="66"/>
      <c r="B14" s="109"/>
      <c r="C14" s="20"/>
      <c r="D14" s="20"/>
      <c r="E14" s="20"/>
      <c r="F14" s="103"/>
      <c r="G14" s="20"/>
      <c r="H14" s="20"/>
      <c r="I14" s="104"/>
      <c r="J14" s="110"/>
      <c r="K14" s="20"/>
      <c r="L14" s="20"/>
      <c r="M14" s="20"/>
      <c r="N14" s="20"/>
      <c r="O14" s="104"/>
      <c r="P14" s="110"/>
      <c r="Q14" s="20"/>
      <c r="R14" s="20"/>
      <c r="S14" s="20"/>
      <c r="T14" s="20"/>
      <c r="U14" s="104"/>
      <c r="V14" s="111"/>
      <c r="W14" s="20"/>
      <c r="X14" s="20"/>
      <c r="Y14" s="20"/>
      <c r="Z14" s="20"/>
      <c r="AA14" s="104"/>
      <c r="AB14" s="106"/>
      <c r="AC14" s="20"/>
      <c r="AD14" s="20"/>
      <c r="AE14" s="20"/>
      <c r="AF14" s="20"/>
      <c r="AG14" s="104"/>
      <c r="AH14" s="106"/>
      <c r="AI14" s="20"/>
      <c r="AJ14" s="20"/>
      <c r="AK14" s="20"/>
      <c r="AL14" s="20"/>
      <c r="AM14" s="104"/>
      <c r="AN14" s="106"/>
      <c r="AO14" s="20"/>
      <c r="AP14" s="20"/>
      <c r="AQ14" s="20"/>
      <c r="AR14" s="20"/>
      <c r="AS14" s="104"/>
      <c r="AT14" s="107"/>
      <c r="AU14" s="20"/>
      <c r="AV14" s="20"/>
      <c r="AW14" s="20"/>
      <c r="AX14" s="20"/>
      <c r="AY14" s="104"/>
      <c r="AZ14" s="103"/>
      <c r="BA14" s="20"/>
      <c r="BB14" s="20"/>
      <c r="BC14" s="20"/>
      <c r="BD14" s="20"/>
      <c r="BE14" s="20"/>
      <c r="BF14" s="20"/>
      <c r="BG14" s="20"/>
      <c r="BH14" s="10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</row>
    <row r="15" ht="30.0" customHeight="1">
      <c r="A15" s="66"/>
      <c r="B15" s="102"/>
      <c r="C15" s="20"/>
      <c r="D15" s="20"/>
      <c r="E15" s="20"/>
      <c r="F15" s="103"/>
      <c r="G15" s="20"/>
      <c r="H15" s="20"/>
      <c r="I15" s="104"/>
      <c r="J15" s="105"/>
      <c r="K15" s="20"/>
      <c r="L15" s="20"/>
      <c r="M15" s="20"/>
      <c r="N15" s="20"/>
      <c r="O15" s="104"/>
      <c r="P15" s="105"/>
      <c r="Q15" s="20"/>
      <c r="R15" s="20"/>
      <c r="S15" s="20"/>
      <c r="T15" s="20"/>
      <c r="U15" s="104"/>
      <c r="V15" s="111"/>
      <c r="W15" s="20"/>
      <c r="X15" s="20"/>
      <c r="Y15" s="20"/>
      <c r="Z15" s="20"/>
      <c r="AA15" s="104"/>
      <c r="AB15" s="106"/>
      <c r="AC15" s="20"/>
      <c r="AD15" s="20"/>
      <c r="AE15" s="20"/>
      <c r="AF15" s="20"/>
      <c r="AG15" s="104"/>
      <c r="AH15" s="106"/>
      <c r="AI15" s="20"/>
      <c r="AJ15" s="20"/>
      <c r="AK15" s="20"/>
      <c r="AL15" s="20"/>
      <c r="AM15" s="104"/>
      <c r="AN15" s="106"/>
      <c r="AO15" s="20"/>
      <c r="AP15" s="20"/>
      <c r="AQ15" s="20"/>
      <c r="AR15" s="20"/>
      <c r="AS15" s="104"/>
      <c r="AT15" s="107"/>
      <c r="AU15" s="20"/>
      <c r="AV15" s="20"/>
      <c r="AW15" s="20"/>
      <c r="AX15" s="20"/>
      <c r="AY15" s="104"/>
      <c r="AZ15" s="107"/>
      <c r="BA15" s="20"/>
      <c r="BB15" s="20"/>
      <c r="BC15" s="20"/>
      <c r="BD15" s="20"/>
      <c r="BE15" s="20"/>
      <c r="BF15" s="20"/>
      <c r="BG15" s="20"/>
      <c r="BH15" s="10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</row>
    <row r="16" ht="30.0" customHeight="1">
      <c r="A16" s="66"/>
      <c r="B16" s="109"/>
      <c r="C16" s="20"/>
      <c r="D16" s="20"/>
      <c r="E16" s="20"/>
      <c r="F16" s="103"/>
      <c r="G16" s="20"/>
      <c r="H16" s="20"/>
      <c r="I16" s="104"/>
      <c r="J16" s="110"/>
      <c r="K16" s="20"/>
      <c r="L16" s="20"/>
      <c r="M16" s="20"/>
      <c r="N16" s="20"/>
      <c r="O16" s="104"/>
      <c r="P16" s="110"/>
      <c r="Q16" s="20"/>
      <c r="R16" s="20"/>
      <c r="S16" s="20"/>
      <c r="T16" s="20"/>
      <c r="U16" s="104"/>
      <c r="V16" s="111"/>
      <c r="W16" s="20"/>
      <c r="X16" s="20"/>
      <c r="Y16" s="20"/>
      <c r="Z16" s="20"/>
      <c r="AA16" s="104"/>
      <c r="AB16" s="106"/>
      <c r="AC16" s="20"/>
      <c r="AD16" s="20"/>
      <c r="AE16" s="20"/>
      <c r="AF16" s="20"/>
      <c r="AG16" s="104"/>
      <c r="AH16" s="106"/>
      <c r="AI16" s="20"/>
      <c r="AJ16" s="20"/>
      <c r="AK16" s="20"/>
      <c r="AL16" s="20"/>
      <c r="AM16" s="104"/>
      <c r="AN16" s="106"/>
      <c r="AO16" s="20"/>
      <c r="AP16" s="20"/>
      <c r="AQ16" s="20"/>
      <c r="AR16" s="20"/>
      <c r="AS16" s="104"/>
      <c r="AT16" s="107"/>
      <c r="AU16" s="20"/>
      <c r="AV16" s="20"/>
      <c r="AW16" s="20"/>
      <c r="AX16" s="20"/>
      <c r="AY16" s="104"/>
      <c r="AZ16" s="103"/>
      <c r="BA16" s="20"/>
      <c r="BB16" s="20"/>
      <c r="BC16" s="20"/>
      <c r="BD16" s="20"/>
      <c r="BE16" s="20"/>
      <c r="BF16" s="20"/>
      <c r="BG16" s="20"/>
      <c r="BH16" s="10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</row>
    <row r="17" ht="30.0" customHeight="1">
      <c r="A17" s="112"/>
      <c r="B17" s="113"/>
      <c r="C17" s="20"/>
      <c r="D17" s="20"/>
      <c r="E17" s="20"/>
      <c r="F17" s="107"/>
      <c r="G17" s="20"/>
      <c r="H17" s="20"/>
      <c r="I17" s="104"/>
      <c r="J17" s="110"/>
      <c r="K17" s="20"/>
      <c r="L17" s="20"/>
      <c r="M17" s="20"/>
      <c r="N17" s="20"/>
      <c r="O17" s="104"/>
      <c r="P17" s="107"/>
      <c r="Q17" s="20"/>
      <c r="R17" s="20"/>
      <c r="S17" s="20"/>
      <c r="T17" s="20"/>
      <c r="U17" s="104"/>
      <c r="V17" s="107"/>
      <c r="W17" s="20"/>
      <c r="X17" s="20"/>
      <c r="Y17" s="20"/>
      <c r="Z17" s="20"/>
      <c r="AA17" s="104"/>
      <c r="AB17" s="106"/>
      <c r="AC17" s="20"/>
      <c r="AD17" s="20"/>
      <c r="AE17" s="20"/>
      <c r="AF17" s="20"/>
      <c r="AG17" s="104"/>
      <c r="AH17" s="106"/>
      <c r="AI17" s="20"/>
      <c r="AJ17" s="20"/>
      <c r="AK17" s="20"/>
      <c r="AL17" s="20"/>
      <c r="AM17" s="104"/>
      <c r="AN17" s="106"/>
      <c r="AO17" s="20"/>
      <c r="AP17" s="20"/>
      <c r="AQ17" s="20"/>
      <c r="AR17" s="20"/>
      <c r="AS17" s="104"/>
      <c r="AT17" s="107"/>
      <c r="AU17" s="20"/>
      <c r="AV17" s="20"/>
      <c r="AW17" s="20"/>
      <c r="AX17" s="20"/>
      <c r="AY17" s="104"/>
      <c r="AZ17" s="107"/>
      <c r="BA17" s="20"/>
      <c r="BB17" s="20"/>
      <c r="BC17" s="20"/>
      <c r="BD17" s="20"/>
      <c r="BE17" s="20"/>
      <c r="BF17" s="20"/>
      <c r="BG17" s="20"/>
      <c r="BH17" s="10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ht="30.0" customHeight="1">
      <c r="A18" s="66"/>
      <c r="B18" s="113"/>
      <c r="C18" s="20"/>
      <c r="D18" s="20"/>
      <c r="E18" s="20"/>
      <c r="F18" s="107"/>
      <c r="G18" s="20"/>
      <c r="H18" s="20"/>
      <c r="I18" s="104"/>
      <c r="J18" s="110"/>
      <c r="K18" s="20"/>
      <c r="L18" s="20"/>
      <c r="M18" s="20"/>
      <c r="N18" s="20"/>
      <c r="O18" s="104"/>
      <c r="P18" s="110"/>
      <c r="Q18" s="20"/>
      <c r="R18" s="20"/>
      <c r="S18" s="20"/>
      <c r="T18" s="20"/>
      <c r="U18" s="104"/>
      <c r="V18" s="107"/>
      <c r="W18" s="20"/>
      <c r="X18" s="20"/>
      <c r="Y18" s="20"/>
      <c r="Z18" s="20"/>
      <c r="AA18" s="104"/>
      <c r="AB18" s="106"/>
      <c r="AC18" s="20"/>
      <c r="AD18" s="20"/>
      <c r="AE18" s="20"/>
      <c r="AF18" s="20"/>
      <c r="AG18" s="104"/>
      <c r="AH18" s="106"/>
      <c r="AI18" s="20"/>
      <c r="AJ18" s="20"/>
      <c r="AK18" s="20"/>
      <c r="AL18" s="20"/>
      <c r="AM18" s="104"/>
      <c r="AN18" s="106"/>
      <c r="AO18" s="20"/>
      <c r="AP18" s="20"/>
      <c r="AQ18" s="20"/>
      <c r="AR18" s="20"/>
      <c r="AS18" s="104"/>
      <c r="AT18" s="107"/>
      <c r="AU18" s="20"/>
      <c r="AV18" s="20"/>
      <c r="AW18" s="20"/>
      <c r="AX18" s="20"/>
      <c r="AY18" s="104"/>
      <c r="AZ18" s="107"/>
      <c r="BA18" s="20"/>
      <c r="BB18" s="20"/>
      <c r="BC18" s="20"/>
      <c r="BD18" s="20"/>
      <c r="BE18" s="20"/>
      <c r="BF18" s="20"/>
      <c r="BG18" s="20"/>
      <c r="BH18" s="10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ht="30.0" customHeight="1">
      <c r="A19" s="112"/>
      <c r="B19" s="113"/>
      <c r="C19" s="20"/>
      <c r="D19" s="20"/>
      <c r="E19" s="20"/>
      <c r="F19" s="107"/>
      <c r="G19" s="20"/>
      <c r="H19" s="20"/>
      <c r="I19" s="104"/>
      <c r="J19" s="107"/>
      <c r="K19" s="20"/>
      <c r="L19" s="20"/>
      <c r="M19" s="20"/>
      <c r="N19" s="20"/>
      <c r="O19" s="104"/>
      <c r="P19" s="107"/>
      <c r="Q19" s="20"/>
      <c r="R19" s="20"/>
      <c r="S19" s="20"/>
      <c r="T19" s="20"/>
      <c r="U19" s="104"/>
      <c r="V19" s="107"/>
      <c r="W19" s="20"/>
      <c r="X19" s="20"/>
      <c r="Y19" s="20"/>
      <c r="Z19" s="20"/>
      <c r="AA19" s="104"/>
      <c r="AB19" s="106"/>
      <c r="AC19" s="20"/>
      <c r="AD19" s="20"/>
      <c r="AE19" s="20"/>
      <c r="AF19" s="20"/>
      <c r="AG19" s="104"/>
      <c r="AH19" s="106"/>
      <c r="AI19" s="20"/>
      <c r="AJ19" s="20"/>
      <c r="AK19" s="20"/>
      <c r="AL19" s="20"/>
      <c r="AM19" s="104"/>
      <c r="AN19" s="106"/>
      <c r="AO19" s="20"/>
      <c r="AP19" s="20"/>
      <c r="AQ19" s="20"/>
      <c r="AR19" s="20"/>
      <c r="AS19" s="104"/>
      <c r="AT19" s="107"/>
      <c r="AU19" s="20"/>
      <c r="AV19" s="20"/>
      <c r="AW19" s="20"/>
      <c r="AX19" s="20"/>
      <c r="AY19" s="104"/>
      <c r="AZ19" s="107"/>
      <c r="BA19" s="20"/>
      <c r="BB19" s="20"/>
      <c r="BC19" s="20"/>
      <c r="BD19" s="20"/>
      <c r="BE19" s="20"/>
      <c r="BF19" s="20"/>
      <c r="BG19" s="20"/>
      <c r="BH19" s="10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ht="30.0" customHeight="1">
      <c r="A20" s="112"/>
      <c r="B20" s="113"/>
      <c r="C20" s="20"/>
      <c r="D20" s="20"/>
      <c r="E20" s="20"/>
      <c r="F20" s="107"/>
      <c r="G20" s="20"/>
      <c r="H20" s="20"/>
      <c r="I20" s="104"/>
      <c r="J20" s="110"/>
      <c r="K20" s="20"/>
      <c r="L20" s="20"/>
      <c r="M20" s="20"/>
      <c r="N20" s="20"/>
      <c r="O20" s="104"/>
      <c r="P20" s="110"/>
      <c r="Q20" s="20"/>
      <c r="R20" s="20"/>
      <c r="S20" s="20"/>
      <c r="T20" s="20"/>
      <c r="U20" s="104"/>
      <c r="V20" s="107"/>
      <c r="W20" s="20"/>
      <c r="X20" s="20"/>
      <c r="Y20" s="20"/>
      <c r="Z20" s="20"/>
      <c r="AA20" s="104"/>
      <c r="AB20" s="106"/>
      <c r="AC20" s="20"/>
      <c r="AD20" s="20"/>
      <c r="AE20" s="20"/>
      <c r="AF20" s="20"/>
      <c r="AG20" s="104"/>
      <c r="AH20" s="106"/>
      <c r="AI20" s="20"/>
      <c r="AJ20" s="20"/>
      <c r="AK20" s="20"/>
      <c r="AL20" s="20"/>
      <c r="AM20" s="104"/>
      <c r="AN20" s="106"/>
      <c r="AO20" s="20"/>
      <c r="AP20" s="20"/>
      <c r="AQ20" s="20"/>
      <c r="AR20" s="20"/>
      <c r="AS20" s="104"/>
      <c r="AT20" s="107"/>
      <c r="AU20" s="20"/>
      <c r="AV20" s="20"/>
      <c r="AW20" s="20"/>
      <c r="AX20" s="20"/>
      <c r="AY20" s="104"/>
      <c r="AZ20" s="107"/>
      <c r="BA20" s="20"/>
      <c r="BB20" s="20"/>
      <c r="BC20" s="20"/>
      <c r="BD20" s="20"/>
      <c r="BE20" s="20"/>
      <c r="BF20" s="20"/>
      <c r="BG20" s="20"/>
      <c r="BH20" s="10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ht="30.0" customHeight="1">
      <c r="A21" s="66"/>
      <c r="B21" s="113"/>
      <c r="C21" s="20"/>
      <c r="D21" s="20"/>
      <c r="E21" s="20"/>
      <c r="F21" s="107"/>
      <c r="G21" s="20"/>
      <c r="H21" s="20"/>
      <c r="I21" s="104"/>
      <c r="J21" s="107"/>
      <c r="K21" s="20"/>
      <c r="L21" s="20"/>
      <c r="M21" s="20"/>
      <c r="N21" s="20"/>
      <c r="O21" s="104"/>
      <c r="P21" s="107"/>
      <c r="Q21" s="20"/>
      <c r="R21" s="20"/>
      <c r="S21" s="20"/>
      <c r="T21" s="20"/>
      <c r="U21" s="104"/>
      <c r="V21" s="107"/>
      <c r="W21" s="20"/>
      <c r="X21" s="20"/>
      <c r="Y21" s="20"/>
      <c r="Z21" s="20"/>
      <c r="AA21" s="104"/>
      <c r="AB21" s="106"/>
      <c r="AC21" s="20"/>
      <c r="AD21" s="20"/>
      <c r="AE21" s="20"/>
      <c r="AF21" s="20"/>
      <c r="AG21" s="104"/>
      <c r="AH21" s="106"/>
      <c r="AI21" s="20"/>
      <c r="AJ21" s="20"/>
      <c r="AK21" s="20"/>
      <c r="AL21" s="20"/>
      <c r="AM21" s="104"/>
      <c r="AN21" s="106"/>
      <c r="AO21" s="20"/>
      <c r="AP21" s="20"/>
      <c r="AQ21" s="20"/>
      <c r="AR21" s="20"/>
      <c r="AS21" s="104"/>
      <c r="AT21" s="107"/>
      <c r="AU21" s="20"/>
      <c r="AV21" s="20"/>
      <c r="AW21" s="20"/>
      <c r="AX21" s="20"/>
      <c r="AY21" s="104"/>
      <c r="AZ21" s="107"/>
      <c r="BA21" s="20"/>
      <c r="BB21" s="20"/>
      <c r="BC21" s="20"/>
      <c r="BD21" s="20"/>
      <c r="BE21" s="20"/>
      <c r="BF21" s="20"/>
      <c r="BG21" s="20"/>
      <c r="BH21" s="10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ht="30.0" customHeight="1">
      <c r="A22" s="66"/>
      <c r="B22" s="113"/>
      <c r="C22" s="20"/>
      <c r="D22" s="20"/>
      <c r="E22" s="20"/>
      <c r="F22" s="107"/>
      <c r="G22" s="20"/>
      <c r="H22" s="20"/>
      <c r="I22" s="104"/>
      <c r="J22" s="110"/>
      <c r="K22" s="20"/>
      <c r="L22" s="20"/>
      <c r="M22" s="20"/>
      <c r="N22" s="20"/>
      <c r="O22" s="104"/>
      <c r="P22" s="110"/>
      <c r="Q22" s="20"/>
      <c r="R22" s="20"/>
      <c r="S22" s="20"/>
      <c r="T22" s="20"/>
      <c r="U22" s="104"/>
      <c r="V22" s="107"/>
      <c r="W22" s="20"/>
      <c r="X22" s="20"/>
      <c r="Y22" s="20"/>
      <c r="Z22" s="20"/>
      <c r="AA22" s="104"/>
      <c r="AB22" s="106"/>
      <c r="AC22" s="20"/>
      <c r="AD22" s="20"/>
      <c r="AE22" s="20"/>
      <c r="AF22" s="20"/>
      <c r="AG22" s="104"/>
      <c r="AH22" s="106"/>
      <c r="AI22" s="20"/>
      <c r="AJ22" s="20"/>
      <c r="AK22" s="20"/>
      <c r="AL22" s="20"/>
      <c r="AM22" s="104"/>
      <c r="AN22" s="106"/>
      <c r="AO22" s="20"/>
      <c r="AP22" s="20"/>
      <c r="AQ22" s="20"/>
      <c r="AR22" s="20"/>
      <c r="AS22" s="104"/>
      <c r="AT22" s="107"/>
      <c r="AU22" s="20"/>
      <c r="AV22" s="20"/>
      <c r="AW22" s="20"/>
      <c r="AX22" s="20"/>
      <c r="AY22" s="104"/>
      <c r="AZ22" s="107"/>
      <c r="BA22" s="20"/>
      <c r="BB22" s="20"/>
      <c r="BC22" s="20"/>
      <c r="BD22" s="20"/>
      <c r="BE22" s="20"/>
      <c r="BF22" s="20"/>
      <c r="BG22" s="20"/>
      <c r="BH22" s="10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ht="30.0" customHeight="1">
      <c r="A23" s="66"/>
      <c r="B23" s="113"/>
      <c r="C23" s="20"/>
      <c r="D23" s="20"/>
      <c r="E23" s="20"/>
      <c r="F23" s="107"/>
      <c r="G23" s="20"/>
      <c r="H23" s="20"/>
      <c r="I23" s="104"/>
      <c r="J23" s="107"/>
      <c r="K23" s="20"/>
      <c r="L23" s="20"/>
      <c r="M23" s="20"/>
      <c r="N23" s="20"/>
      <c r="O23" s="104"/>
      <c r="P23" s="107"/>
      <c r="Q23" s="20"/>
      <c r="R23" s="20"/>
      <c r="S23" s="20"/>
      <c r="T23" s="20"/>
      <c r="U23" s="104"/>
      <c r="V23" s="107"/>
      <c r="W23" s="20"/>
      <c r="X23" s="20"/>
      <c r="Y23" s="20"/>
      <c r="Z23" s="20"/>
      <c r="AA23" s="104"/>
      <c r="AB23" s="106"/>
      <c r="AC23" s="20"/>
      <c r="AD23" s="20"/>
      <c r="AE23" s="20"/>
      <c r="AF23" s="20"/>
      <c r="AG23" s="104"/>
      <c r="AH23" s="106"/>
      <c r="AI23" s="20"/>
      <c r="AJ23" s="20"/>
      <c r="AK23" s="20"/>
      <c r="AL23" s="20"/>
      <c r="AM23" s="104"/>
      <c r="AN23" s="106"/>
      <c r="AO23" s="20"/>
      <c r="AP23" s="20"/>
      <c r="AQ23" s="20"/>
      <c r="AR23" s="20"/>
      <c r="AS23" s="104"/>
      <c r="AT23" s="107"/>
      <c r="AU23" s="20"/>
      <c r="AV23" s="20"/>
      <c r="AW23" s="20"/>
      <c r="AX23" s="20"/>
      <c r="AY23" s="104"/>
      <c r="AZ23" s="107"/>
      <c r="BA23" s="20"/>
      <c r="BB23" s="20"/>
      <c r="BC23" s="20"/>
      <c r="BD23" s="20"/>
      <c r="BE23" s="20"/>
      <c r="BF23" s="20"/>
      <c r="BG23" s="20"/>
      <c r="BH23" s="10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ht="30.0" customHeight="1">
      <c r="A24" s="66"/>
      <c r="B24" s="113"/>
      <c r="C24" s="20"/>
      <c r="D24" s="20"/>
      <c r="E24" s="20"/>
      <c r="F24" s="107"/>
      <c r="G24" s="20"/>
      <c r="H24" s="20"/>
      <c r="I24" s="104"/>
      <c r="J24" s="110"/>
      <c r="K24" s="20"/>
      <c r="L24" s="20"/>
      <c r="M24" s="20"/>
      <c r="N24" s="20"/>
      <c r="O24" s="104"/>
      <c r="P24" s="110"/>
      <c r="Q24" s="20"/>
      <c r="R24" s="20"/>
      <c r="S24" s="20"/>
      <c r="T24" s="20"/>
      <c r="U24" s="104"/>
      <c r="V24" s="107"/>
      <c r="W24" s="20"/>
      <c r="X24" s="20"/>
      <c r="Y24" s="20"/>
      <c r="Z24" s="20"/>
      <c r="AA24" s="104"/>
      <c r="AB24" s="106"/>
      <c r="AC24" s="20"/>
      <c r="AD24" s="20"/>
      <c r="AE24" s="20"/>
      <c r="AF24" s="20"/>
      <c r="AG24" s="104"/>
      <c r="AH24" s="106"/>
      <c r="AI24" s="20"/>
      <c r="AJ24" s="20"/>
      <c r="AK24" s="20"/>
      <c r="AL24" s="20"/>
      <c r="AM24" s="104"/>
      <c r="AN24" s="106"/>
      <c r="AO24" s="20"/>
      <c r="AP24" s="20"/>
      <c r="AQ24" s="20"/>
      <c r="AR24" s="20"/>
      <c r="AS24" s="104"/>
      <c r="AT24" s="107"/>
      <c r="AU24" s="20"/>
      <c r="AV24" s="20"/>
      <c r="AW24" s="20"/>
      <c r="AX24" s="20"/>
      <c r="AY24" s="104"/>
      <c r="AZ24" s="107"/>
      <c r="BA24" s="20"/>
      <c r="BB24" s="20"/>
      <c r="BC24" s="20"/>
      <c r="BD24" s="20"/>
      <c r="BE24" s="20"/>
      <c r="BF24" s="20"/>
      <c r="BG24" s="20"/>
      <c r="BH24" s="10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ht="30.0" customHeight="1">
      <c r="A25" s="66"/>
      <c r="B25" s="113"/>
      <c r="C25" s="20"/>
      <c r="D25" s="20"/>
      <c r="E25" s="20"/>
      <c r="F25" s="107"/>
      <c r="G25" s="20"/>
      <c r="H25" s="20"/>
      <c r="I25" s="104"/>
      <c r="J25" s="107"/>
      <c r="K25" s="20"/>
      <c r="L25" s="20"/>
      <c r="M25" s="20"/>
      <c r="N25" s="20"/>
      <c r="O25" s="104"/>
      <c r="P25" s="107"/>
      <c r="Q25" s="20"/>
      <c r="R25" s="20"/>
      <c r="S25" s="20"/>
      <c r="T25" s="20"/>
      <c r="U25" s="104"/>
      <c r="V25" s="107"/>
      <c r="W25" s="20"/>
      <c r="X25" s="20"/>
      <c r="Y25" s="20"/>
      <c r="Z25" s="20"/>
      <c r="AA25" s="104"/>
      <c r="AB25" s="106"/>
      <c r="AC25" s="20"/>
      <c r="AD25" s="20"/>
      <c r="AE25" s="20"/>
      <c r="AF25" s="20"/>
      <c r="AG25" s="104"/>
      <c r="AH25" s="106"/>
      <c r="AI25" s="20"/>
      <c r="AJ25" s="20"/>
      <c r="AK25" s="20"/>
      <c r="AL25" s="20"/>
      <c r="AM25" s="104"/>
      <c r="AN25" s="106"/>
      <c r="AO25" s="20"/>
      <c r="AP25" s="20"/>
      <c r="AQ25" s="20"/>
      <c r="AR25" s="20"/>
      <c r="AS25" s="104"/>
      <c r="AT25" s="107"/>
      <c r="AU25" s="20"/>
      <c r="AV25" s="20"/>
      <c r="AW25" s="20"/>
      <c r="AX25" s="20"/>
      <c r="AY25" s="104"/>
      <c r="AZ25" s="107"/>
      <c r="BA25" s="20"/>
      <c r="BB25" s="20"/>
      <c r="BC25" s="20"/>
      <c r="BD25" s="20"/>
      <c r="BE25" s="20"/>
      <c r="BF25" s="20"/>
      <c r="BG25" s="20"/>
      <c r="BH25" s="10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ht="30.0" customHeight="1">
      <c r="A26" s="66"/>
      <c r="B26" s="113"/>
      <c r="C26" s="20"/>
      <c r="D26" s="20"/>
      <c r="E26" s="20"/>
      <c r="F26" s="107"/>
      <c r="G26" s="20"/>
      <c r="H26" s="20"/>
      <c r="I26" s="104"/>
      <c r="J26" s="110"/>
      <c r="K26" s="20"/>
      <c r="L26" s="20"/>
      <c r="M26" s="20"/>
      <c r="N26" s="20"/>
      <c r="O26" s="104"/>
      <c r="P26" s="110"/>
      <c r="Q26" s="20"/>
      <c r="R26" s="20"/>
      <c r="S26" s="20"/>
      <c r="T26" s="20"/>
      <c r="U26" s="104"/>
      <c r="V26" s="107"/>
      <c r="W26" s="20"/>
      <c r="X26" s="20"/>
      <c r="Y26" s="20"/>
      <c r="Z26" s="20"/>
      <c r="AA26" s="104"/>
      <c r="AB26" s="106"/>
      <c r="AC26" s="20"/>
      <c r="AD26" s="20"/>
      <c r="AE26" s="20"/>
      <c r="AF26" s="20"/>
      <c r="AG26" s="104"/>
      <c r="AH26" s="106"/>
      <c r="AI26" s="20"/>
      <c r="AJ26" s="20"/>
      <c r="AK26" s="20"/>
      <c r="AL26" s="20"/>
      <c r="AM26" s="104"/>
      <c r="AN26" s="106"/>
      <c r="AO26" s="20"/>
      <c r="AP26" s="20"/>
      <c r="AQ26" s="20"/>
      <c r="AR26" s="20"/>
      <c r="AS26" s="104"/>
      <c r="AT26" s="107"/>
      <c r="AU26" s="20"/>
      <c r="AV26" s="20"/>
      <c r="AW26" s="20"/>
      <c r="AX26" s="20"/>
      <c r="AY26" s="104"/>
      <c r="AZ26" s="107"/>
      <c r="BA26" s="20"/>
      <c r="BB26" s="20"/>
      <c r="BC26" s="20"/>
      <c r="BD26" s="20"/>
      <c r="BE26" s="20"/>
      <c r="BF26" s="20"/>
      <c r="BG26" s="20"/>
      <c r="BH26" s="10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ht="30.0" customHeight="1">
      <c r="A27" s="66"/>
      <c r="B27" s="113"/>
      <c r="C27" s="20"/>
      <c r="D27" s="20"/>
      <c r="E27" s="20"/>
      <c r="F27" s="107"/>
      <c r="G27" s="20"/>
      <c r="H27" s="20"/>
      <c r="I27" s="104"/>
      <c r="J27" s="107"/>
      <c r="K27" s="20"/>
      <c r="L27" s="20"/>
      <c r="M27" s="20"/>
      <c r="N27" s="20"/>
      <c r="O27" s="104"/>
      <c r="P27" s="107"/>
      <c r="Q27" s="20"/>
      <c r="R27" s="20"/>
      <c r="S27" s="20"/>
      <c r="T27" s="20"/>
      <c r="U27" s="104"/>
      <c r="V27" s="107"/>
      <c r="W27" s="20"/>
      <c r="X27" s="20"/>
      <c r="Y27" s="20"/>
      <c r="Z27" s="20"/>
      <c r="AA27" s="104"/>
      <c r="AB27" s="106"/>
      <c r="AC27" s="20"/>
      <c r="AD27" s="20"/>
      <c r="AE27" s="20"/>
      <c r="AF27" s="20"/>
      <c r="AG27" s="104"/>
      <c r="AH27" s="106"/>
      <c r="AI27" s="20"/>
      <c r="AJ27" s="20"/>
      <c r="AK27" s="20"/>
      <c r="AL27" s="20"/>
      <c r="AM27" s="104"/>
      <c r="AN27" s="106"/>
      <c r="AO27" s="20"/>
      <c r="AP27" s="20"/>
      <c r="AQ27" s="20"/>
      <c r="AR27" s="20"/>
      <c r="AS27" s="104"/>
      <c r="AT27" s="107"/>
      <c r="AU27" s="20"/>
      <c r="AV27" s="20"/>
      <c r="AW27" s="20"/>
      <c r="AX27" s="20"/>
      <c r="AY27" s="104"/>
      <c r="AZ27" s="107"/>
      <c r="BA27" s="20"/>
      <c r="BB27" s="20"/>
      <c r="BC27" s="20"/>
      <c r="BD27" s="20"/>
      <c r="BE27" s="20"/>
      <c r="BF27" s="20"/>
      <c r="BG27" s="20"/>
      <c r="BH27" s="10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ht="30.0" customHeight="1">
      <c r="A28" s="66"/>
      <c r="B28" s="113"/>
      <c r="C28" s="20"/>
      <c r="D28" s="20"/>
      <c r="E28" s="20"/>
      <c r="F28" s="107"/>
      <c r="G28" s="20"/>
      <c r="H28" s="20"/>
      <c r="I28" s="104"/>
      <c r="J28" s="110"/>
      <c r="K28" s="20"/>
      <c r="L28" s="20"/>
      <c r="M28" s="20"/>
      <c r="N28" s="20"/>
      <c r="O28" s="104"/>
      <c r="P28" s="110"/>
      <c r="Q28" s="20"/>
      <c r="R28" s="20"/>
      <c r="S28" s="20"/>
      <c r="T28" s="20"/>
      <c r="U28" s="104"/>
      <c r="V28" s="107"/>
      <c r="W28" s="20"/>
      <c r="X28" s="20"/>
      <c r="Y28" s="20"/>
      <c r="Z28" s="20"/>
      <c r="AA28" s="104"/>
      <c r="AB28" s="106"/>
      <c r="AC28" s="20"/>
      <c r="AD28" s="20"/>
      <c r="AE28" s="20"/>
      <c r="AF28" s="20"/>
      <c r="AG28" s="104"/>
      <c r="AH28" s="106"/>
      <c r="AI28" s="20"/>
      <c r="AJ28" s="20"/>
      <c r="AK28" s="20"/>
      <c r="AL28" s="20"/>
      <c r="AM28" s="104"/>
      <c r="AN28" s="106"/>
      <c r="AO28" s="20"/>
      <c r="AP28" s="20"/>
      <c r="AQ28" s="20"/>
      <c r="AR28" s="20"/>
      <c r="AS28" s="104"/>
      <c r="AT28" s="107"/>
      <c r="AU28" s="20"/>
      <c r="AV28" s="20"/>
      <c r="AW28" s="20"/>
      <c r="AX28" s="20"/>
      <c r="AY28" s="104"/>
      <c r="AZ28" s="107"/>
      <c r="BA28" s="20"/>
      <c r="BB28" s="20"/>
      <c r="BC28" s="20"/>
      <c r="BD28" s="20"/>
      <c r="BE28" s="20"/>
      <c r="BF28" s="20"/>
      <c r="BG28" s="20"/>
      <c r="BH28" s="10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ht="33.75" customHeight="1">
      <c r="A29" s="66"/>
      <c r="B29" s="114" t="s">
        <v>90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6"/>
      <c r="AB29" s="117"/>
      <c r="AC29" s="115"/>
      <c r="AD29" s="115"/>
      <c r="AE29" s="115"/>
      <c r="AF29" s="115"/>
      <c r="AG29" s="116"/>
      <c r="AH29" s="117"/>
      <c r="AI29" s="115"/>
      <c r="AJ29" s="115"/>
      <c r="AK29" s="115"/>
      <c r="AL29" s="115"/>
      <c r="AM29" s="116"/>
      <c r="AN29" s="117"/>
      <c r="AO29" s="115"/>
      <c r="AP29" s="115"/>
      <c r="AQ29" s="115"/>
      <c r="AR29" s="115"/>
      <c r="AS29" s="116"/>
      <c r="AT29" s="118"/>
      <c r="AU29" s="115"/>
      <c r="AV29" s="115"/>
      <c r="AW29" s="115"/>
      <c r="AX29" s="115"/>
      <c r="AY29" s="116"/>
      <c r="AZ29" s="119"/>
      <c r="BA29" s="115"/>
      <c r="BB29" s="115"/>
      <c r="BC29" s="115"/>
      <c r="BD29" s="115"/>
      <c r="BE29" s="115"/>
      <c r="BF29" s="115"/>
      <c r="BG29" s="115"/>
      <c r="BH29" s="120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</row>
    <row r="30" ht="23.2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122">
        <v>3.0</v>
      </c>
      <c r="AX30" s="17"/>
      <c r="AY30" s="26"/>
      <c r="AZ30" s="123" t="s">
        <v>91</v>
      </c>
      <c r="BA30" s="17"/>
      <c r="BB30" s="26"/>
      <c r="BC30" s="123">
        <v>1.0</v>
      </c>
      <c r="BD30" s="17"/>
      <c r="BE30" s="26"/>
      <c r="BF30" s="123" t="s">
        <v>92</v>
      </c>
      <c r="BG30" s="17"/>
      <c r="BH30" s="26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</row>
    <row r="31" ht="33.0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</row>
    <row r="32" ht="19.5" customHeight="1">
      <c r="A32" s="66"/>
      <c r="B32" s="66"/>
      <c r="C32" s="66"/>
      <c r="D32" s="67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6"/>
      <c r="P32" s="66"/>
      <c r="Q32" s="66"/>
      <c r="R32" s="66"/>
      <c r="S32" s="69" t="s">
        <v>75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</row>
    <row r="33" ht="15.75" customHeight="1">
      <c r="A33" s="66"/>
      <c r="B33" s="70" t="s">
        <v>76</v>
      </c>
      <c r="C33" s="71"/>
      <c r="D33" s="71"/>
      <c r="E33" s="71"/>
      <c r="F33" s="71"/>
      <c r="G33" s="72"/>
      <c r="H33" s="73"/>
      <c r="I33" s="71"/>
      <c r="J33" s="71"/>
      <c r="K33" s="71"/>
      <c r="L33" s="71"/>
      <c r="M33" s="71"/>
      <c r="N33" s="71"/>
      <c r="O33" s="71"/>
      <c r="P33" s="71"/>
      <c r="Q33" s="72"/>
      <c r="R33" s="74" t="s">
        <v>77</v>
      </c>
      <c r="S33" s="71"/>
      <c r="T33" s="71"/>
      <c r="U33" s="71"/>
      <c r="V33" s="71"/>
      <c r="W33" s="71"/>
      <c r="X33" s="71"/>
      <c r="Y33" s="71"/>
      <c r="Z33" s="71"/>
      <c r="AA33" s="71"/>
      <c r="AB33" s="72"/>
      <c r="AC33" s="124"/>
      <c r="AD33" s="71"/>
      <c r="AE33" s="71"/>
      <c r="AF33" s="71"/>
      <c r="AG33" s="71"/>
      <c r="AH33" s="71"/>
      <c r="AI33" s="71"/>
      <c r="AJ33" s="71"/>
      <c r="AK33" s="71"/>
      <c r="AL33" s="71"/>
      <c r="AM33" s="72"/>
      <c r="AN33" s="76" t="s">
        <v>78</v>
      </c>
      <c r="AO33" s="71"/>
      <c r="AP33" s="71"/>
      <c r="AQ33" s="71"/>
      <c r="AR33" s="71"/>
      <c r="AS33" s="71"/>
      <c r="AT33" s="72"/>
      <c r="AU33" s="77" t="s">
        <v>79</v>
      </c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8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</row>
    <row r="34" ht="15.75" customHeight="1">
      <c r="A34" s="66"/>
      <c r="B34" s="80"/>
      <c r="C34" s="17"/>
      <c r="D34" s="17"/>
      <c r="E34" s="17"/>
      <c r="F34" s="17"/>
      <c r="G34" s="26"/>
      <c r="H34" s="25"/>
      <c r="I34" s="17"/>
      <c r="J34" s="17"/>
      <c r="K34" s="17"/>
      <c r="L34" s="17"/>
      <c r="M34" s="17"/>
      <c r="N34" s="17"/>
      <c r="O34" s="17"/>
      <c r="P34" s="17"/>
      <c r="Q34" s="26"/>
      <c r="R34" s="25"/>
      <c r="S34" s="17"/>
      <c r="T34" s="17"/>
      <c r="U34" s="17"/>
      <c r="V34" s="17"/>
      <c r="W34" s="17"/>
      <c r="X34" s="17"/>
      <c r="Y34" s="17"/>
      <c r="Z34" s="17"/>
      <c r="AA34" s="17"/>
      <c r="AB34" s="26"/>
      <c r="AC34" s="25"/>
      <c r="AD34" s="17"/>
      <c r="AE34" s="17"/>
      <c r="AF34" s="17"/>
      <c r="AG34" s="17"/>
      <c r="AH34" s="17"/>
      <c r="AI34" s="17"/>
      <c r="AJ34" s="17"/>
      <c r="AK34" s="17"/>
      <c r="AL34" s="17"/>
      <c r="AM34" s="26"/>
      <c r="AN34" s="81"/>
      <c r="AT34" s="49"/>
      <c r="AU34" s="81"/>
      <c r="BH34" s="82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</row>
    <row r="35" ht="15.75" customHeight="1">
      <c r="A35" s="66"/>
      <c r="B35" s="125" t="s">
        <v>80</v>
      </c>
      <c r="C35" s="22"/>
      <c r="D35" s="22"/>
      <c r="E35" s="22"/>
      <c r="F35" s="22"/>
      <c r="G35" s="84"/>
      <c r="H35" s="8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84"/>
      <c r="AN35" s="81"/>
      <c r="AT35" s="49"/>
      <c r="AU35" s="81"/>
      <c r="BH35" s="82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</row>
    <row r="36" ht="15.75" customHeight="1">
      <c r="A36" s="66"/>
      <c r="B36" s="86"/>
      <c r="G36" s="49"/>
      <c r="H36" s="81"/>
      <c r="AM36" s="49"/>
      <c r="AN36" s="81"/>
      <c r="AT36" s="49"/>
      <c r="AU36" s="81"/>
      <c r="BH36" s="82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</row>
    <row r="37" ht="3.75" customHeight="1">
      <c r="A37" s="66"/>
      <c r="B37" s="87"/>
      <c r="C37" s="68"/>
      <c r="D37" s="68"/>
      <c r="E37" s="68"/>
      <c r="F37" s="68"/>
      <c r="G37" s="88"/>
      <c r="H37" s="89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88"/>
      <c r="AN37" s="89"/>
      <c r="AO37" s="68"/>
      <c r="AP37" s="68"/>
      <c r="AQ37" s="68"/>
      <c r="AR37" s="68"/>
      <c r="AS37" s="68"/>
      <c r="AT37" s="88"/>
      <c r="AU37" s="89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90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</row>
    <row r="38" ht="5.2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</row>
    <row r="39" ht="15.75" customHeight="1">
      <c r="A39" s="66"/>
      <c r="B39" s="126" t="s">
        <v>81</v>
      </c>
      <c r="C39" s="71"/>
      <c r="D39" s="71"/>
      <c r="E39" s="72"/>
      <c r="F39" s="127" t="s">
        <v>82</v>
      </c>
      <c r="G39" s="71"/>
      <c r="H39" s="71"/>
      <c r="I39" s="72"/>
      <c r="J39" s="128" t="s">
        <v>83</v>
      </c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5"/>
      <c r="V39" s="129" t="s">
        <v>93</v>
      </c>
      <c r="W39" s="71"/>
      <c r="X39" s="71"/>
      <c r="Y39" s="71"/>
      <c r="Z39" s="71"/>
      <c r="AA39" s="72"/>
      <c r="AB39" s="97" t="s">
        <v>85</v>
      </c>
      <c r="AC39" s="71"/>
      <c r="AD39" s="71"/>
      <c r="AE39" s="71"/>
      <c r="AF39" s="71"/>
      <c r="AG39" s="72"/>
      <c r="AH39" s="98" t="s">
        <v>46</v>
      </c>
      <c r="AI39" s="71"/>
      <c r="AJ39" s="71"/>
      <c r="AK39" s="71"/>
      <c r="AL39" s="71"/>
      <c r="AM39" s="72"/>
      <c r="AN39" s="96" t="s">
        <v>86</v>
      </c>
      <c r="AO39" s="71"/>
      <c r="AP39" s="71"/>
      <c r="AQ39" s="71"/>
      <c r="AR39" s="71"/>
      <c r="AS39" s="72"/>
      <c r="AT39" s="96" t="s">
        <v>87</v>
      </c>
      <c r="AU39" s="71"/>
      <c r="AV39" s="71"/>
      <c r="AW39" s="71"/>
      <c r="AX39" s="71"/>
      <c r="AY39" s="72"/>
      <c r="AZ39" s="99"/>
      <c r="BA39" s="71"/>
      <c r="BB39" s="71"/>
      <c r="BC39" s="71"/>
      <c r="BD39" s="71"/>
      <c r="BE39" s="71"/>
      <c r="BF39" s="71"/>
      <c r="BG39" s="71"/>
      <c r="BH39" s="78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</row>
    <row r="40" ht="15.75" customHeight="1">
      <c r="A40" s="66"/>
      <c r="B40" s="86"/>
      <c r="E40" s="49"/>
      <c r="F40" s="81"/>
      <c r="I40" s="49"/>
      <c r="J40" s="130" t="s">
        <v>94</v>
      </c>
      <c r="K40" s="22"/>
      <c r="L40" s="22"/>
      <c r="M40" s="22"/>
      <c r="N40" s="22"/>
      <c r="O40" s="84"/>
      <c r="P40" s="130" t="s">
        <v>95</v>
      </c>
      <c r="Q40" s="22"/>
      <c r="R40" s="22"/>
      <c r="S40" s="22"/>
      <c r="T40" s="22"/>
      <c r="U40" s="84"/>
      <c r="V40" s="81"/>
      <c r="AA40" s="49"/>
      <c r="AB40" s="81"/>
      <c r="AG40" s="49"/>
      <c r="AH40" s="81"/>
      <c r="AM40" s="49"/>
      <c r="AN40" s="81"/>
      <c r="AS40" s="49"/>
      <c r="AT40" s="81"/>
      <c r="AY40" s="49"/>
      <c r="AZ40" s="81"/>
      <c r="BH40" s="82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</row>
    <row r="41" ht="15.75" customHeight="1">
      <c r="A41" s="66"/>
      <c r="B41" s="80"/>
      <c r="C41" s="17"/>
      <c r="D41" s="17"/>
      <c r="E41" s="26"/>
      <c r="F41" s="25"/>
      <c r="G41" s="17"/>
      <c r="H41" s="17"/>
      <c r="I41" s="26"/>
      <c r="J41" s="25"/>
      <c r="K41" s="17"/>
      <c r="L41" s="17"/>
      <c r="M41" s="17"/>
      <c r="N41" s="17"/>
      <c r="O41" s="26"/>
      <c r="P41" s="25"/>
      <c r="Q41" s="17"/>
      <c r="R41" s="17"/>
      <c r="S41" s="17"/>
      <c r="T41" s="17"/>
      <c r="U41" s="26"/>
      <c r="V41" s="25"/>
      <c r="W41" s="17"/>
      <c r="X41" s="17"/>
      <c r="Y41" s="17"/>
      <c r="Z41" s="17"/>
      <c r="AA41" s="26"/>
      <c r="AB41" s="25"/>
      <c r="AC41" s="17"/>
      <c r="AD41" s="17"/>
      <c r="AE41" s="17"/>
      <c r="AF41" s="17"/>
      <c r="AG41" s="26"/>
      <c r="AH41" s="25"/>
      <c r="AI41" s="17"/>
      <c r="AJ41" s="17"/>
      <c r="AK41" s="17"/>
      <c r="AL41" s="17"/>
      <c r="AM41" s="26"/>
      <c r="AN41" s="25"/>
      <c r="AO41" s="17"/>
      <c r="AP41" s="17"/>
      <c r="AQ41" s="17"/>
      <c r="AR41" s="17"/>
      <c r="AS41" s="26"/>
      <c r="AT41" s="25"/>
      <c r="AU41" s="17"/>
      <c r="AV41" s="17"/>
      <c r="AW41" s="17"/>
      <c r="AX41" s="17"/>
      <c r="AY41" s="26"/>
      <c r="AZ41" s="25"/>
      <c r="BA41" s="17"/>
      <c r="BB41" s="17"/>
      <c r="BC41" s="17"/>
      <c r="BD41" s="17"/>
      <c r="BE41" s="17"/>
      <c r="BF41" s="17"/>
      <c r="BG41" s="17"/>
      <c r="BH41" s="101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</row>
    <row r="42" ht="30.0" customHeight="1">
      <c r="A42" s="66"/>
      <c r="B42" s="113"/>
      <c r="C42" s="20"/>
      <c r="D42" s="20"/>
      <c r="E42" s="20"/>
      <c r="F42" s="107"/>
      <c r="G42" s="20"/>
      <c r="H42" s="20"/>
      <c r="I42" s="104"/>
      <c r="J42" s="107"/>
      <c r="K42" s="20"/>
      <c r="L42" s="20"/>
      <c r="M42" s="20"/>
      <c r="N42" s="20"/>
      <c r="O42" s="104"/>
      <c r="P42" s="107"/>
      <c r="Q42" s="20"/>
      <c r="R42" s="20"/>
      <c r="S42" s="20"/>
      <c r="T42" s="20"/>
      <c r="U42" s="104"/>
      <c r="V42" s="107"/>
      <c r="W42" s="20"/>
      <c r="X42" s="20"/>
      <c r="Y42" s="20"/>
      <c r="Z42" s="20"/>
      <c r="AA42" s="104"/>
      <c r="AB42" s="106"/>
      <c r="AC42" s="20"/>
      <c r="AD42" s="20"/>
      <c r="AE42" s="20"/>
      <c r="AF42" s="20"/>
      <c r="AG42" s="104"/>
      <c r="AH42" s="106"/>
      <c r="AI42" s="20"/>
      <c r="AJ42" s="20"/>
      <c r="AK42" s="20"/>
      <c r="AL42" s="20"/>
      <c r="AM42" s="104"/>
      <c r="AN42" s="106"/>
      <c r="AO42" s="20"/>
      <c r="AP42" s="20"/>
      <c r="AQ42" s="20"/>
      <c r="AR42" s="20"/>
      <c r="AS42" s="104"/>
      <c r="AT42" s="107"/>
      <c r="AU42" s="20"/>
      <c r="AV42" s="20"/>
      <c r="AW42" s="20"/>
      <c r="AX42" s="20"/>
      <c r="AY42" s="104"/>
      <c r="AZ42" s="107"/>
      <c r="BA42" s="20"/>
      <c r="BB42" s="20"/>
      <c r="BC42" s="20"/>
      <c r="BD42" s="20"/>
      <c r="BE42" s="20"/>
      <c r="BF42" s="20"/>
      <c r="BG42" s="20"/>
      <c r="BH42" s="10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 ht="30.0" customHeight="1">
      <c r="A43" s="66"/>
      <c r="B43" s="113"/>
      <c r="C43" s="20"/>
      <c r="D43" s="20"/>
      <c r="E43" s="20"/>
      <c r="F43" s="107"/>
      <c r="G43" s="20"/>
      <c r="H43" s="20"/>
      <c r="I43" s="104"/>
      <c r="J43" s="110"/>
      <c r="K43" s="20"/>
      <c r="L43" s="20"/>
      <c r="M43" s="20"/>
      <c r="N43" s="20"/>
      <c r="O43" s="104"/>
      <c r="P43" s="110"/>
      <c r="Q43" s="20"/>
      <c r="R43" s="20"/>
      <c r="S43" s="20"/>
      <c r="T43" s="20"/>
      <c r="U43" s="104"/>
      <c r="V43" s="107"/>
      <c r="W43" s="20"/>
      <c r="X43" s="20"/>
      <c r="Y43" s="20"/>
      <c r="Z43" s="20"/>
      <c r="AA43" s="104"/>
      <c r="AB43" s="106"/>
      <c r="AC43" s="20"/>
      <c r="AD43" s="20"/>
      <c r="AE43" s="20"/>
      <c r="AF43" s="20"/>
      <c r="AG43" s="104"/>
      <c r="AH43" s="106"/>
      <c r="AI43" s="20"/>
      <c r="AJ43" s="20"/>
      <c r="AK43" s="20"/>
      <c r="AL43" s="20"/>
      <c r="AM43" s="104"/>
      <c r="AN43" s="106"/>
      <c r="AO43" s="20"/>
      <c r="AP43" s="20"/>
      <c r="AQ43" s="20"/>
      <c r="AR43" s="20"/>
      <c r="AS43" s="104"/>
      <c r="AT43" s="107"/>
      <c r="AU43" s="20"/>
      <c r="AV43" s="20"/>
      <c r="AW43" s="20"/>
      <c r="AX43" s="20"/>
      <c r="AY43" s="104"/>
      <c r="AZ43" s="107"/>
      <c r="BA43" s="20"/>
      <c r="BB43" s="20"/>
      <c r="BC43" s="20"/>
      <c r="BD43" s="20"/>
      <c r="BE43" s="20"/>
      <c r="BF43" s="20"/>
      <c r="BG43" s="20"/>
      <c r="BH43" s="10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 ht="30.0" customHeight="1">
      <c r="A44" s="66"/>
      <c r="B44" s="113"/>
      <c r="C44" s="20"/>
      <c r="D44" s="20"/>
      <c r="E44" s="20"/>
      <c r="F44" s="107"/>
      <c r="G44" s="20"/>
      <c r="H44" s="20"/>
      <c r="I44" s="104"/>
      <c r="J44" s="107"/>
      <c r="K44" s="20"/>
      <c r="L44" s="20"/>
      <c r="M44" s="20"/>
      <c r="N44" s="20"/>
      <c r="O44" s="104"/>
      <c r="P44" s="107"/>
      <c r="Q44" s="20"/>
      <c r="R44" s="20"/>
      <c r="S44" s="20"/>
      <c r="T44" s="20"/>
      <c r="U44" s="104"/>
      <c r="V44" s="107"/>
      <c r="W44" s="20"/>
      <c r="X44" s="20"/>
      <c r="Y44" s="20"/>
      <c r="Z44" s="20"/>
      <c r="AA44" s="104"/>
      <c r="AB44" s="106"/>
      <c r="AC44" s="20"/>
      <c r="AD44" s="20"/>
      <c r="AE44" s="20"/>
      <c r="AF44" s="20"/>
      <c r="AG44" s="104"/>
      <c r="AH44" s="106"/>
      <c r="AI44" s="20"/>
      <c r="AJ44" s="20"/>
      <c r="AK44" s="20"/>
      <c r="AL44" s="20"/>
      <c r="AM44" s="104"/>
      <c r="AN44" s="106"/>
      <c r="AO44" s="20"/>
      <c r="AP44" s="20"/>
      <c r="AQ44" s="20"/>
      <c r="AR44" s="20"/>
      <c r="AS44" s="104"/>
      <c r="AT44" s="107"/>
      <c r="AU44" s="20"/>
      <c r="AV44" s="20"/>
      <c r="AW44" s="20"/>
      <c r="AX44" s="20"/>
      <c r="AY44" s="104"/>
      <c r="AZ44" s="107"/>
      <c r="BA44" s="20"/>
      <c r="BB44" s="20"/>
      <c r="BC44" s="20"/>
      <c r="BD44" s="20"/>
      <c r="BE44" s="20"/>
      <c r="BF44" s="20"/>
      <c r="BG44" s="20"/>
      <c r="BH44" s="10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 ht="30.0" customHeight="1">
      <c r="A45" s="66"/>
      <c r="B45" s="113"/>
      <c r="C45" s="20"/>
      <c r="D45" s="20"/>
      <c r="E45" s="20"/>
      <c r="F45" s="107"/>
      <c r="G45" s="20"/>
      <c r="H45" s="20"/>
      <c r="I45" s="104"/>
      <c r="J45" s="110"/>
      <c r="K45" s="20"/>
      <c r="L45" s="20"/>
      <c r="M45" s="20"/>
      <c r="N45" s="20"/>
      <c r="O45" s="104"/>
      <c r="P45" s="110"/>
      <c r="Q45" s="20"/>
      <c r="R45" s="20"/>
      <c r="S45" s="20"/>
      <c r="T45" s="20"/>
      <c r="U45" s="104"/>
      <c r="V45" s="107"/>
      <c r="W45" s="20"/>
      <c r="X45" s="20"/>
      <c r="Y45" s="20"/>
      <c r="Z45" s="20"/>
      <c r="AA45" s="104"/>
      <c r="AB45" s="106"/>
      <c r="AC45" s="20"/>
      <c r="AD45" s="20"/>
      <c r="AE45" s="20"/>
      <c r="AF45" s="20"/>
      <c r="AG45" s="104"/>
      <c r="AH45" s="106"/>
      <c r="AI45" s="20"/>
      <c r="AJ45" s="20"/>
      <c r="AK45" s="20"/>
      <c r="AL45" s="20"/>
      <c r="AM45" s="104"/>
      <c r="AN45" s="106"/>
      <c r="AO45" s="20"/>
      <c r="AP45" s="20"/>
      <c r="AQ45" s="20"/>
      <c r="AR45" s="20"/>
      <c r="AS45" s="104"/>
      <c r="AT45" s="107"/>
      <c r="AU45" s="20"/>
      <c r="AV45" s="20"/>
      <c r="AW45" s="20"/>
      <c r="AX45" s="20"/>
      <c r="AY45" s="104"/>
      <c r="AZ45" s="107"/>
      <c r="BA45" s="20"/>
      <c r="BB45" s="20"/>
      <c r="BC45" s="20"/>
      <c r="BD45" s="20"/>
      <c r="BE45" s="20"/>
      <c r="BF45" s="20"/>
      <c r="BG45" s="20"/>
      <c r="BH45" s="10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 ht="30.0" customHeight="1">
      <c r="A46" s="66"/>
      <c r="B46" s="113"/>
      <c r="C46" s="20"/>
      <c r="D46" s="20"/>
      <c r="E46" s="20"/>
      <c r="F46" s="107"/>
      <c r="G46" s="20"/>
      <c r="H46" s="20"/>
      <c r="I46" s="104"/>
      <c r="J46" s="107"/>
      <c r="K46" s="20"/>
      <c r="L46" s="20"/>
      <c r="M46" s="20"/>
      <c r="N46" s="20"/>
      <c r="O46" s="104"/>
      <c r="P46" s="107"/>
      <c r="Q46" s="20"/>
      <c r="R46" s="20"/>
      <c r="S46" s="20"/>
      <c r="T46" s="20"/>
      <c r="U46" s="104"/>
      <c r="V46" s="107"/>
      <c r="W46" s="20"/>
      <c r="X46" s="20"/>
      <c r="Y46" s="20"/>
      <c r="Z46" s="20"/>
      <c r="AA46" s="104"/>
      <c r="AB46" s="106"/>
      <c r="AC46" s="20"/>
      <c r="AD46" s="20"/>
      <c r="AE46" s="20"/>
      <c r="AF46" s="20"/>
      <c r="AG46" s="104"/>
      <c r="AH46" s="106"/>
      <c r="AI46" s="20"/>
      <c r="AJ46" s="20"/>
      <c r="AK46" s="20"/>
      <c r="AL46" s="20"/>
      <c r="AM46" s="104"/>
      <c r="AN46" s="106"/>
      <c r="AO46" s="20"/>
      <c r="AP46" s="20"/>
      <c r="AQ46" s="20"/>
      <c r="AR46" s="20"/>
      <c r="AS46" s="104"/>
      <c r="AT46" s="107"/>
      <c r="AU46" s="20"/>
      <c r="AV46" s="20"/>
      <c r="AW46" s="20"/>
      <c r="AX46" s="20"/>
      <c r="AY46" s="104"/>
      <c r="AZ46" s="107"/>
      <c r="BA46" s="20"/>
      <c r="BB46" s="20"/>
      <c r="BC46" s="20"/>
      <c r="BD46" s="20"/>
      <c r="BE46" s="20"/>
      <c r="BF46" s="20"/>
      <c r="BG46" s="20"/>
      <c r="BH46" s="10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</row>
    <row r="47" ht="30.0" customHeight="1">
      <c r="A47" s="66"/>
      <c r="B47" s="113"/>
      <c r="C47" s="20"/>
      <c r="D47" s="20"/>
      <c r="E47" s="20"/>
      <c r="F47" s="107"/>
      <c r="G47" s="20"/>
      <c r="H47" s="20"/>
      <c r="I47" s="104"/>
      <c r="J47" s="110"/>
      <c r="K47" s="20"/>
      <c r="L47" s="20"/>
      <c r="M47" s="20"/>
      <c r="N47" s="20"/>
      <c r="O47" s="104"/>
      <c r="P47" s="110"/>
      <c r="Q47" s="20"/>
      <c r="R47" s="20"/>
      <c r="S47" s="20"/>
      <c r="T47" s="20"/>
      <c r="U47" s="104"/>
      <c r="V47" s="107"/>
      <c r="W47" s="20"/>
      <c r="X47" s="20"/>
      <c r="Y47" s="20"/>
      <c r="Z47" s="20"/>
      <c r="AA47" s="104"/>
      <c r="AB47" s="106"/>
      <c r="AC47" s="20"/>
      <c r="AD47" s="20"/>
      <c r="AE47" s="20"/>
      <c r="AF47" s="20"/>
      <c r="AG47" s="104"/>
      <c r="AH47" s="106"/>
      <c r="AI47" s="20"/>
      <c r="AJ47" s="20"/>
      <c r="AK47" s="20"/>
      <c r="AL47" s="20"/>
      <c r="AM47" s="104"/>
      <c r="AN47" s="106"/>
      <c r="AO47" s="20"/>
      <c r="AP47" s="20"/>
      <c r="AQ47" s="20"/>
      <c r="AR47" s="20"/>
      <c r="AS47" s="104"/>
      <c r="AT47" s="107"/>
      <c r="AU47" s="20"/>
      <c r="AV47" s="20"/>
      <c r="AW47" s="20"/>
      <c r="AX47" s="20"/>
      <c r="AY47" s="104"/>
      <c r="AZ47" s="107"/>
      <c r="BA47" s="20"/>
      <c r="BB47" s="20"/>
      <c r="BC47" s="20"/>
      <c r="BD47" s="20"/>
      <c r="BE47" s="20"/>
      <c r="BF47" s="20"/>
      <c r="BG47" s="20"/>
      <c r="BH47" s="10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 ht="30.0" customHeight="1">
      <c r="A48" s="112"/>
      <c r="B48" s="113"/>
      <c r="C48" s="20"/>
      <c r="D48" s="20"/>
      <c r="E48" s="20"/>
      <c r="F48" s="107"/>
      <c r="G48" s="20"/>
      <c r="H48" s="20"/>
      <c r="I48" s="104"/>
      <c r="J48" s="107"/>
      <c r="K48" s="20"/>
      <c r="L48" s="20"/>
      <c r="M48" s="20"/>
      <c r="N48" s="20"/>
      <c r="O48" s="104"/>
      <c r="P48" s="107"/>
      <c r="Q48" s="20"/>
      <c r="R48" s="20"/>
      <c r="S48" s="20"/>
      <c r="T48" s="20"/>
      <c r="U48" s="104"/>
      <c r="V48" s="107"/>
      <c r="W48" s="20"/>
      <c r="X48" s="20"/>
      <c r="Y48" s="20"/>
      <c r="Z48" s="20"/>
      <c r="AA48" s="104"/>
      <c r="AB48" s="106"/>
      <c r="AC48" s="20"/>
      <c r="AD48" s="20"/>
      <c r="AE48" s="20"/>
      <c r="AF48" s="20"/>
      <c r="AG48" s="104"/>
      <c r="AH48" s="106"/>
      <c r="AI48" s="20"/>
      <c r="AJ48" s="20"/>
      <c r="AK48" s="20"/>
      <c r="AL48" s="20"/>
      <c r="AM48" s="104"/>
      <c r="AN48" s="106"/>
      <c r="AO48" s="20"/>
      <c r="AP48" s="20"/>
      <c r="AQ48" s="20"/>
      <c r="AR48" s="20"/>
      <c r="AS48" s="104"/>
      <c r="AT48" s="107"/>
      <c r="AU48" s="20"/>
      <c r="AV48" s="20"/>
      <c r="AW48" s="20"/>
      <c r="AX48" s="20"/>
      <c r="AY48" s="104"/>
      <c r="AZ48" s="107"/>
      <c r="BA48" s="20"/>
      <c r="BB48" s="20"/>
      <c r="BC48" s="20"/>
      <c r="BD48" s="20"/>
      <c r="BE48" s="20"/>
      <c r="BF48" s="20"/>
      <c r="BG48" s="20"/>
      <c r="BH48" s="10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 ht="30.0" customHeight="1">
      <c r="A49" s="66"/>
      <c r="B49" s="113"/>
      <c r="C49" s="20"/>
      <c r="D49" s="20"/>
      <c r="E49" s="20"/>
      <c r="F49" s="107"/>
      <c r="G49" s="20"/>
      <c r="H49" s="20"/>
      <c r="I49" s="104"/>
      <c r="J49" s="110"/>
      <c r="K49" s="20"/>
      <c r="L49" s="20"/>
      <c r="M49" s="20"/>
      <c r="N49" s="20"/>
      <c r="O49" s="104"/>
      <c r="P49" s="110"/>
      <c r="Q49" s="20"/>
      <c r="R49" s="20"/>
      <c r="S49" s="20"/>
      <c r="T49" s="20"/>
      <c r="U49" s="104"/>
      <c r="V49" s="107"/>
      <c r="W49" s="20"/>
      <c r="X49" s="20"/>
      <c r="Y49" s="20"/>
      <c r="Z49" s="20"/>
      <c r="AA49" s="104"/>
      <c r="AB49" s="106"/>
      <c r="AC49" s="20"/>
      <c r="AD49" s="20"/>
      <c r="AE49" s="20"/>
      <c r="AF49" s="20"/>
      <c r="AG49" s="104"/>
      <c r="AH49" s="106"/>
      <c r="AI49" s="20"/>
      <c r="AJ49" s="20"/>
      <c r="AK49" s="20"/>
      <c r="AL49" s="20"/>
      <c r="AM49" s="104"/>
      <c r="AN49" s="106"/>
      <c r="AO49" s="20"/>
      <c r="AP49" s="20"/>
      <c r="AQ49" s="20"/>
      <c r="AR49" s="20"/>
      <c r="AS49" s="104"/>
      <c r="AT49" s="107"/>
      <c r="AU49" s="20"/>
      <c r="AV49" s="20"/>
      <c r="AW49" s="20"/>
      <c r="AX49" s="20"/>
      <c r="AY49" s="104"/>
      <c r="AZ49" s="107"/>
      <c r="BA49" s="20"/>
      <c r="BB49" s="20"/>
      <c r="BC49" s="20"/>
      <c r="BD49" s="20"/>
      <c r="BE49" s="20"/>
      <c r="BF49" s="20"/>
      <c r="BG49" s="20"/>
      <c r="BH49" s="10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 ht="30.0" customHeight="1">
      <c r="A50" s="112"/>
      <c r="B50" s="113"/>
      <c r="C50" s="20"/>
      <c r="D50" s="20"/>
      <c r="E50" s="20"/>
      <c r="F50" s="107"/>
      <c r="G50" s="20"/>
      <c r="H50" s="20"/>
      <c r="I50" s="104"/>
      <c r="J50" s="107"/>
      <c r="K50" s="20"/>
      <c r="L50" s="20"/>
      <c r="M50" s="20"/>
      <c r="N50" s="20"/>
      <c r="O50" s="104"/>
      <c r="P50" s="107"/>
      <c r="Q50" s="20"/>
      <c r="R50" s="20"/>
      <c r="S50" s="20"/>
      <c r="T50" s="20"/>
      <c r="U50" s="104"/>
      <c r="V50" s="107"/>
      <c r="W50" s="20"/>
      <c r="X50" s="20"/>
      <c r="Y50" s="20"/>
      <c r="Z50" s="20"/>
      <c r="AA50" s="104"/>
      <c r="AB50" s="106"/>
      <c r="AC50" s="20"/>
      <c r="AD50" s="20"/>
      <c r="AE50" s="20"/>
      <c r="AF50" s="20"/>
      <c r="AG50" s="104"/>
      <c r="AH50" s="106"/>
      <c r="AI50" s="20"/>
      <c r="AJ50" s="20"/>
      <c r="AK50" s="20"/>
      <c r="AL50" s="20"/>
      <c r="AM50" s="104"/>
      <c r="AN50" s="106"/>
      <c r="AO50" s="20"/>
      <c r="AP50" s="20"/>
      <c r="AQ50" s="20"/>
      <c r="AR50" s="20"/>
      <c r="AS50" s="104"/>
      <c r="AT50" s="107"/>
      <c r="AU50" s="20"/>
      <c r="AV50" s="20"/>
      <c r="AW50" s="20"/>
      <c r="AX50" s="20"/>
      <c r="AY50" s="104"/>
      <c r="AZ50" s="107"/>
      <c r="BA50" s="20"/>
      <c r="BB50" s="20"/>
      <c r="BC50" s="20"/>
      <c r="BD50" s="20"/>
      <c r="BE50" s="20"/>
      <c r="BF50" s="20"/>
      <c r="BG50" s="20"/>
      <c r="BH50" s="10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 ht="30.0" customHeight="1">
      <c r="A51" s="66"/>
      <c r="B51" s="113"/>
      <c r="C51" s="20"/>
      <c r="D51" s="20"/>
      <c r="E51" s="20"/>
      <c r="F51" s="107"/>
      <c r="G51" s="20"/>
      <c r="H51" s="20"/>
      <c r="I51" s="104"/>
      <c r="J51" s="110"/>
      <c r="K51" s="20"/>
      <c r="L51" s="20"/>
      <c r="M51" s="20"/>
      <c r="N51" s="20"/>
      <c r="O51" s="104"/>
      <c r="P51" s="110"/>
      <c r="Q51" s="20"/>
      <c r="R51" s="20"/>
      <c r="S51" s="20"/>
      <c r="T51" s="20"/>
      <c r="U51" s="104"/>
      <c r="V51" s="107"/>
      <c r="W51" s="20"/>
      <c r="X51" s="20"/>
      <c r="Y51" s="20"/>
      <c r="Z51" s="20"/>
      <c r="AA51" s="104"/>
      <c r="AB51" s="106"/>
      <c r="AC51" s="20"/>
      <c r="AD51" s="20"/>
      <c r="AE51" s="20"/>
      <c r="AF51" s="20"/>
      <c r="AG51" s="104"/>
      <c r="AH51" s="106"/>
      <c r="AI51" s="20"/>
      <c r="AJ51" s="20"/>
      <c r="AK51" s="20"/>
      <c r="AL51" s="20"/>
      <c r="AM51" s="104"/>
      <c r="AN51" s="106"/>
      <c r="AO51" s="20"/>
      <c r="AP51" s="20"/>
      <c r="AQ51" s="20"/>
      <c r="AR51" s="20"/>
      <c r="AS51" s="104"/>
      <c r="AT51" s="107"/>
      <c r="AU51" s="20"/>
      <c r="AV51" s="20"/>
      <c r="AW51" s="20"/>
      <c r="AX51" s="20"/>
      <c r="AY51" s="104"/>
      <c r="AZ51" s="107"/>
      <c r="BA51" s="20"/>
      <c r="BB51" s="20"/>
      <c r="BC51" s="20"/>
      <c r="BD51" s="20"/>
      <c r="BE51" s="20"/>
      <c r="BF51" s="20"/>
      <c r="BG51" s="20"/>
      <c r="BH51" s="10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 ht="30.0" customHeight="1">
      <c r="A52" s="66"/>
      <c r="B52" s="113"/>
      <c r="C52" s="20"/>
      <c r="D52" s="20"/>
      <c r="E52" s="20"/>
      <c r="F52" s="107"/>
      <c r="G52" s="20"/>
      <c r="H52" s="20"/>
      <c r="I52" s="104"/>
      <c r="J52" s="107"/>
      <c r="K52" s="20"/>
      <c r="L52" s="20"/>
      <c r="M52" s="20"/>
      <c r="N52" s="20"/>
      <c r="O52" s="104"/>
      <c r="P52" s="107"/>
      <c r="Q52" s="20"/>
      <c r="R52" s="20"/>
      <c r="S52" s="20"/>
      <c r="T52" s="20"/>
      <c r="U52" s="104"/>
      <c r="V52" s="107"/>
      <c r="W52" s="20"/>
      <c r="X52" s="20"/>
      <c r="Y52" s="20"/>
      <c r="Z52" s="20"/>
      <c r="AA52" s="104"/>
      <c r="AB52" s="106"/>
      <c r="AC52" s="20"/>
      <c r="AD52" s="20"/>
      <c r="AE52" s="20"/>
      <c r="AF52" s="20"/>
      <c r="AG52" s="104"/>
      <c r="AH52" s="106"/>
      <c r="AI52" s="20"/>
      <c r="AJ52" s="20"/>
      <c r="AK52" s="20"/>
      <c r="AL52" s="20"/>
      <c r="AM52" s="104"/>
      <c r="AN52" s="106"/>
      <c r="AO52" s="20"/>
      <c r="AP52" s="20"/>
      <c r="AQ52" s="20"/>
      <c r="AR52" s="20"/>
      <c r="AS52" s="104"/>
      <c r="AT52" s="107"/>
      <c r="AU52" s="20"/>
      <c r="AV52" s="20"/>
      <c r="AW52" s="20"/>
      <c r="AX52" s="20"/>
      <c r="AY52" s="104"/>
      <c r="AZ52" s="107"/>
      <c r="BA52" s="20"/>
      <c r="BB52" s="20"/>
      <c r="BC52" s="20"/>
      <c r="BD52" s="20"/>
      <c r="BE52" s="20"/>
      <c r="BF52" s="20"/>
      <c r="BG52" s="20"/>
      <c r="BH52" s="10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 ht="30.0" customHeight="1">
      <c r="A53" s="66"/>
      <c r="B53" s="113"/>
      <c r="C53" s="20"/>
      <c r="D53" s="20"/>
      <c r="E53" s="20"/>
      <c r="F53" s="107"/>
      <c r="G53" s="20"/>
      <c r="H53" s="20"/>
      <c r="I53" s="104"/>
      <c r="J53" s="110"/>
      <c r="K53" s="20"/>
      <c r="L53" s="20"/>
      <c r="M53" s="20"/>
      <c r="N53" s="20"/>
      <c r="O53" s="104"/>
      <c r="P53" s="110"/>
      <c r="Q53" s="20"/>
      <c r="R53" s="20"/>
      <c r="S53" s="20"/>
      <c r="T53" s="20"/>
      <c r="U53" s="104"/>
      <c r="V53" s="107"/>
      <c r="W53" s="20"/>
      <c r="X53" s="20"/>
      <c r="Y53" s="20"/>
      <c r="Z53" s="20"/>
      <c r="AA53" s="104"/>
      <c r="AB53" s="106"/>
      <c r="AC53" s="20"/>
      <c r="AD53" s="20"/>
      <c r="AE53" s="20"/>
      <c r="AF53" s="20"/>
      <c r="AG53" s="104"/>
      <c r="AH53" s="106"/>
      <c r="AI53" s="20"/>
      <c r="AJ53" s="20"/>
      <c r="AK53" s="20"/>
      <c r="AL53" s="20"/>
      <c r="AM53" s="104"/>
      <c r="AN53" s="106"/>
      <c r="AO53" s="20"/>
      <c r="AP53" s="20"/>
      <c r="AQ53" s="20"/>
      <c r="AR53" s="20"/>
      <c r="AS53" s="104"/>
      <c r="AT53" s="107"/>
      <c r="AU53" s="20"/>
      <c r="AV53" s="20"/>
      <c r="AW53" s="20"/>
      <c r="AX53" s="20"/>
      <c r="AY53" s="104"/>
      <c r="AZ53" s="107"/>
      <c r="BA53" s="20"/>
      <c r="BB53" s="20"/>
      <c r="BC53" s="20"/>
      <c r="BD53" s="20"/>
      <c r="BE53" s="20"/>
      <c r="BF53" s="20"/>
      <c r="BG53" s="20"/>
      <c r="BH53" s="10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 ht="30.0" customHeight="1">
      <c r="A54" s="66"/>
      <c r="B54" s="113"/>
      <c r="C54" s="20"/>
      <c r="D54" s="20"/>
      <c r="E54" s="20"/>
      <c r="F54" s="107"/>
      <c r="G54" s="20"/>
      <c r="H54" s="20"/>
      <c r="I54" s="104"/>
      <c r="J54" s="107"/>
      <c r="K54" s="20"/>
      <c r="L54" s="20"/>
      <c r="M54" s="20"/>
      <c r="N54" s="20"/>
      <c r="O54" s="104"/>
      <c r="P54" s="107"/>
      <c r="Q54" s="20"/>
      <c r="R54" s="20"/>
      <c r="S54" s="20"/>
      <c r="T54" s="20"/>
      <c r="U54" s="104"/>
      <c r="V54" s="107"/>
      <c r="W54" s="20"/>
      <c r="X54" s="20"/>
      <c r="Y54" s="20"/>
      <c r="Z54" s="20"/>
      <c r="AA54" s="104"/>
      <c r="AB54" s="106"/>
      <c r="AC54" s="20"/>
      <c r="AD54" s="20"/>
      <c r="AE54" s="20"/>
      <c r="AF54" s="20"/>
      <c r="AG54" s="104"/>
      <c r="AH54" s="106"/>
      <c r="AI54" s="20"/>
      <c r="AJ54" s="20"/>
      <c r="AK54" s="20"/>
      <c r="AL54" s="20"/>
      <c r="AM54" s="104"/>
      <c r="AN54" s="106"/>
      <c r="AO54" s="20"/>
      <c r="AP54" s="20"/>
      <c r="AQ54" s="20"/>
      <c r="AR54" s="20"/>
      <c r="AS54" s="104"/>
      <c r="AT54" s="107"/>
      <c r="AU54" s="20"/>
      <c r="AV54" s="20"/>
      <c r="AW54" s="20"/>
      <c r="AX54" s="20"/>
      <c r="AY54" s="104"/>
      <c r="AZ54" s="107"/>
      <c r="BA54" s="20"/>
      <c r="BB54" s="20"/>
      <c r="BC54" s="20"/>
      <c r="BD54" s="20"/>
      <c r="BE54" s="20"/>
      <c r="BF54" s="20"/>
      <c r="BG54" s="20"/>
      <c r="BH54" s="10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 ht="30.0" customHeight="1">
      <c r="A55" s="66"/>
      <c r="B55" s="113"/>
      <c r="C55" s="20"/>
      <c r="D55" s="20"/>
      <c r="E55" s="20"/>
      <c r="F55" s="107"/>
      <c r="G55" s="20"/>
      <c r="H55" s="20"/>
      <c r="I55" s="104"/>
      <c r="J55" s="110"/>
      <c r="K55" s="20"/>
      <c r="L55" s="20"/>
      <c r="M55" s="20"/>
      <c r="N55" s="20"/>
      <c r="O55" s="104"/>
      <c r="P55" s="110"/>
      <c r="Q55" s="20"/>
      <c r="R55" s="20"/>
      <c r="S55" s="20"/>
      <c r="T55" s="20"/>
      <c r="U55" s="104"/>
      <c r="V55" s="107"/>
      <c r="W55" s="20"/>
      <c r="X55" s="20"/>
      <c r="Y55" s="20"/>
      <c r="Z55" s="20"/>
      <c r="AA55" s="104"/>
      <c r="AB55" s="106"/>
      <c r="AC55" s="20"/>
      <c r="AD55" s="20"/>
      <c r="AE55" s="20"/>
      <c r="AF55" s="20"/>
      <c r="AG55" s="104"/>
      <c r="AH55" s="106"/>
      <c r="AI55" s="20"/>
      <c r="AJ55" s="20"/>
      <c r="AK55" s="20"/>
      <c r="AL55" s="20"/>
      <c r="AM55" s="104"/>
      <c r="AN55" s="106"/>
      <c r="AO55" s="20"/>
      <c r="AP55" s="20"/>
      <c r="AQ55" s="20"/>
      <c r="AR55" s="20"/>
      <c r="AS55" s="104"/>
      <c r="AT55" s="107"/>
      <c r="AU55" s="20"/>
      <c r="AV55" s="20"/>
      <c r="AW55" s="20"/>
      <c r="AX55" s="20"/>
      <c r="AY55" s="104"/>
      <c r="AZ55" s="107"/>
      <c r="BA55" s="20"/>
      <c r="BB55" s="20"/>
      <c r="BC55" s="20"/>
      <c r="BD55" s="20"/>
      <c r="BE55" s="20"/>
      <c r="BF55" s="20"/>
      <c r="BG55" s="20"/>
      <c r="BH55" s="10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 ht="30.0" customHeight="1">
      <c r="A56" s="66"/>
      <c r="B56" s="113"/>
      <c r="C56" s="20"/>
      <c r="D56" s="20"/>
      <c r="E56" s="20"/>
      <c r="F56" s="107"/>
      <c r="G56" s="20"/>
      <c r="H56" s="20"/>
      <c r="I56" s="104"/>
      <c r="J56" s="107"/>
      <c r="K56" s="20"/>
      <c r="L56" s="20"/>
      <c r="M56" s="20"/>
      <c r="N56" s="20"/>
      <c r="O56" s="104"/>
      <c r="P56" s="107"/>
      <c r="Q56" s="20"/>
      <c r="R56" s="20"/>
      <c r="S56" s="20"/>
      <c r="T56" s="20"/>
      <c r="U56" s="104"/>
      <c r="V56" s="107"/>
      <c r="W56" s="20"/>
      <c r="X56" s="20"/>
      <c r="Y56" s="20"/>
      <c r="Z56" s="20"/>
      <c r="AA56" s="104"/>
      <c r="AB56" s="106"/>
      <c r="AC56" s="20"/>
      <c r="AD56" s="20"/>
      <c r="AE56" s="20"/>
      <c r="AF56" s="20"/>
      <c r="AG56" s="104"/>
      <c r="AH56" s="106"/>
      <c r="AI56" s="20"/>
      <c r="AJ56" s="20"/>
      <c r="AK56" s="20"/>
      <c r="AL56" s="20"/>
      <c r="AM56" s="104"/>
      <c r="AN56" s="106"/>
      <c r="AO56" s="20"/>
      <c r="AP56" s="20"/>
      <c r="AQ56" s="20"/>
      <c r="AR56" s="20"/>
      <c r="AS56" s="104"/>
      <c r="AT56" s="107"/>
      <c r="AU56" s="20"/>
      <c r="AV56" s="20"/>
      <c r="AW56" s="20"/>
      <c r="AX56" s="20"/>
      <c r="AY56" s="104"/>
      <c r="AZ56" s="107"/>
      <c r="BA56" s="20"/>
      <c r="BB56" s="20"/>
      <c r="BC56" s="20"/>
      <c r="BD56" s="20"/>
      <c r="BE56" s="20"/>
      <c r="BF56" s="20"/>
      <c r="BG56" s="20"/>
      <c r="BH56" s="10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 ht="30.0" customHeight="1">
      <c r="A57" s="66"/>
      <c r="B57" s="113"/>
      <c r="C57" s="20"/>
      <c r="D57" s="20"/>
      <c r="E57" s="20"/>
      <c r="F57" s="107"/>
      <c r="G57" s="20"/>
      <c r="H57" s="20"/>
      <c r="I57" s="104"/>
      <c r="J57" s="110"/>
      <c r="K57" s="20"/>
      <c r="L57" s="20"/>
      <c r="M57" s="20"/>
      <c r="N57" s="20"/>
      <c r="O57" s="104"/>
      <c r="P57" s="110"/>
      <c r="Q57" s="20"/>
      <c r="R57" s="20"/>
      <c r="S57" s="20"/>
      <c r="T57" s="20"/>
      <c r="U57" s="104"/>
      <c r="V57" s="107"/>
      <c r="W57" s="20"/>
      <c r="X57" s="20"/>
      <c r="Y57" s="20"/>
      <c r="Z57" s="20"/>
      <c r="AA57" s="104"/>
      <c r="AB57" s="106"/>
      <c r="AC57" s="20"/>
      <c r="AD57" s="20"/>
      <c r="AE57" s="20"/>
      <c r="AF57" s="20"/>
      <c r="AG57" s="104"/>
      <c r="AH57" s="106"/>
      <c r="AI57" s="20"/>
      <c r="AJ57" s="20"/>
      <c r="AK57" s="20"/>
      <c r="AL57" s="20"/>
      <c r="AM57" s="104"/>
      <c r="AN57" s="106"/>
      <c r="AO57" s="20"/>
      <c r="AP57" s="20"/>
      <c r="AQ57" s="20"/>
      <c r="AR57" s="20"/>
      <c r="AS57" s="104"/>
      <c r="AT57" s="107"/>
      <c r="AU57" s="20"/>
      <c r="AV57" s="20"/>
      <c r="AW57" s="20"/>
      <c r="AX57" s="20"/>
      <c r="AY57" s="104"/>
      <c r="AZ57" s="107"/>
      <c r="BA57" s="20"/>
      <c r="BB57" s="20"/>
      <c r="BC57" s="20"/>
      <c r="BD57" s="20"/>
      <c r="BE57" s="20"/>
      <c r="BF57" s="20"/>
      <c r="BG57" s="20"/>
      <c r="BH57" s="10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 ht="30.0" customHeight="1">
      <c r="A58" s="66"/>
      <c r="B58" s="113"/>
      <c r="C58" s="20"/>
      <c r="D58" s="20"/>
      <c r="E58" s="20"/>
      <c r="F58" s="107"/>
      <c r="G58" s="20"/>
      <c r="H58" s="20"/>
      <c r="I58" s="104"/>
      <c r="J58" s="110"/>
      <c r="K58" s="20"/>
      <c r="L58" s="20"/>
      <c r="M58" s="20"/>
      <c r="N58" s="20"/>
      <c r="O58" s="104"/>
      <c r="P58" s="110"/>
      <c r="Q58" s="20"/>
      <c r="R58" s="20"/>
      <c r="S58" s="20"/>
      <c r="T58" s="20"/>
      <c r="U58" s="104"/>
      <c r="V58" s="107"/>
      <c r="W58" s="20"/>
      <c r="X58" s="20"/>
      <c r="Y58" s="20"/>
      <c r="Z58" s="20"/>
      <c r="AA58" s="104"/>
      <c r="AB58" s="106"/>
      <c r="AC58" s="20"/>
      <c r="AD58" s="20"/>
      <c r="AE58" s="20"/>
      <c r="AF58" s="20"/>
      <c r="AG58" s="104"/>
      <c r="AH58" s="106"/>
      <c r="AI58" s="20"/>
      <c r="AJ58" s="20"/>
      <c r="AK58" s="20"/>
      <c r="AL58" s="20"/>
      <c r="AM58" s="104"/>
      <c r="AN58" s="106"/>
      <c r="AO58" s="20"/>
      <c r="AP58" s="20"/>
      <c r="AQ58" s="20"/>
      <c r="AR58" s="20"/>
      <c r="AS58" s="104"/>
      <c r="AT58" s="107"/>
      <c r="AU58" s="20"/>
      <c r="AV58" s="20"/>
      <c r="AW58" s="20"/>
      <c r="AX58" s="20"/>
      <c r="AY58" s="104"/>
      <c r="AZ58" s="107"/>
      <c r="BA58" s="20"/>
      <c r="BB58" s="20"/>
      <c r="BC58" s="20"/>
      <c r="BD58" s="20"/>
      <c r="BE58" s="20"/>
      <c r="BF58" s="20"/>
      <c r="BG58" s="20"/>
      <c r="BH58" s="10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 ht="31.5" customHeight="1">
      <c r="A59" s="66"/>
      <c r="B59" s="114" t="s">
        <v>90</v>
      </c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6"/>
      <c r="AB59" s="117"/>
      <c r="AC59" s="115"/>
      <c r="AD59" s="115"/>
      <c r="AE59" s="115"/>
      <c r="AF59" s="115"/>
      <c r="AG59" s="116"/>
      <c r="AH59" s="117"/>
      <c r="AI59" s="115"/>
      <c r="AJ59" s="115"/>
      <c r="AK59" s="115"/>
      <c r="AL59" s="115"/>
      <c r="AM59" s="116"/>
      <c r="AN59" s="117"/>
      <c r="AO59" s="115"/>
      <c r="AP59" s="115"/>
      <c r="AQ59" s="115"/>
      <c r="AR59" s="115"/>
      <c r="AS59" s="116"/>
      <c r="AT59" s="118"/>
      <c r="AU59" s="115"/>
      <c r="AV59" s="115"/>
      <c r="AW59" s="115"/>
      <c r="AX59" s="115"/>
      <c r="AY59" s="116"/>
      <c r="AZ59" s="119"/>
      <c r="BA59" s="115"/>
      <c r="BB59" s="115"/>
      <c r="BC59" s="115"/>
      <c r="BD59" s="115"/>
      <c r="BE59" s="115"/>
      <c r="BF59" s="115"/>
      <c r="BG59" s="115"/>
      <c r="BH59" s="120"/>
      <c r="BI59" s="131"/>
      <c r="BJ59" s="131"/>
      <c r="BK59" s="131"/>
      <c r="BL59" s="131"/>
      <c r="BM59" s="131"/>
      <c r="BN59" s="131"/>
      <c r="BO59" s="131"/>
      <c r="BP59" s="131"/>
      <c r="BQ59" s="131"/>
      <c r="BR59" s="131"/>
      <c r="BS59" s="131"/>
      <c r="BT59" s="131"/>
      <c r="BU59" s="131"/>
      <c r="BV59" s="131"/>
      <c r="BW59" s="131"/>
    </row>
    <row r="60" ht="10.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5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</row>
    <row r="61" ht="21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132">
        <v>3.0</v>
      </c>
      <c r="AX61" s="20"/>
      <c r="AY61" s="104"/>
      <c r="AZ61" s="133" t="s">
        <v>91</v>
      </c>
      <c r="BA61" s="20"/>
      <c r="BB61" s="104"/>
      <c r="BC61" s="133">
        <v>2.0</v>
      </c>
      <c r="BD61" s="20"/>
      <c r="BE61" s="104"/>
      <c r="BF61" s="133" t="s">
        <v>92</v>
      </c>
      <c r="BG61" s="20"/>
      <c r="BH61" s="104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</row>
    <row r="62" ht="52.5" customHeight="1">
      <c r="A62" s="66"/>
      <c r="B62" s="66"/>
      <c r="C62" s="66"/>
      <c r="D62" s="67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6"/>
      <c r="P62" s="66"/>
      <c r="Q62" s="66"/>
      <c r="R62" s="66"/>
      <c r="S62" s="69" t="s">
        <v>75</v>
      </c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</row>
    <row r="63" ht="15.75" customHeight="1">
      <c r="A63" s="66"/>
      <c r="B63" s="70" t="s">
        <v>76</v>
      </c>
      <c r="C63" s="71"/>
      <c r="D63" s="71"/>
      <c r="E63" s="71"/>
      <c r="F63" s="71"/>
      <c r="G63" s="72"/>
      <c r="H63" s="73"/>
      <c r="I63" s="71"/>
      <c r="J63" s="71"/>
      <c r="K63" s="71"/>
      <c r="L63" s="71"/>
      <c r="M63" s="71"/>
      <c r="N63" s="71"/>
      <c r="O63" s="71"/>
      <c r="P63" s="71"/>
      <c r="Q63" s="72"/>
      <c r="R63" s="74" t="s">
        <v>77</v>
      </c>
      <c r="S63" s="71"/>
      <c r="T63" s="71"/>
      <c r="U63" s="71"/>
      <c r="V63" s="71"/>
      <c r="W63" s="71"/>
      <c r="X63" s="71"/>
      <c r="Y63" s="71"/>
      <c r="Z63" s="71"/>
      <c r="AA63" s="71"/>
      <c r="AB63" s="72"/>
      <c r="AC63" s="124"/>
      <c r="AD63" s="71"/>
      <c r="AE63" s="71"/>
      <c r="AF63" s="71"/>
      <c r="AG63" s="71"/>
      <c r="AH63" s="71"/>
      <c r="AI63" s="71"/>
      <c r="AJ63" s="71"/>
      <c r="AK63" s="71"/>
      <c r="AL63" s="71"/>
      <c r="AM63" s="72"/>
      <c r="AN63" s="76" t="s">
        <v>78</v>
      </c>
      <c r="AO63" s="71"/>
      <c r="AP63" s="71"/>
      <c r="AQ63" s="71"/>
      <c r="AR63" s="71"/>
      <c r="AS63" s="71"/>
      <c r="AT63" s="72"/>
      <c r="AU63" s="77" t="s">
        <v>79</v>
      </c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8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</row>
    <row r="64" ht="15.75" customHeight="1">
      <c r="A64" s="66"/>
      <c r="B64" s="80"/>
      <c r="C64" s="17"/>
      <c r="D64" s="17"/>
      <c r="E64" s="17"/>
      <c r="F64" s="17"/>
      <c r="G64" s="26"/>
      <c r="H64" s="25"/>
      <c r="I64" s="17"/>
      <c r="J64" s="17"/>
      <c r="K64" s="17"/>
      <c r="L64" s="17"/>
      <c r="M64" s="17"/>
      <c r="N64" s="17"/>
      <c r="O64" s="17"/>
      <c r="P64" s="17"/>
      <c r="Q64" s="26"/>
      <c r="R64" s="25"/>
      <c r="S64" s="17"/>
      <c r="T64" s="17"/>
      <c r="U64" s="17"/>
      <c r="V64" s="17"/>
      <c r="W64" s="17"/>
      <c r="X64" s="17"/>
      <c r="Y64" s="17"/>
      <c r="Z64" s="17"/>
      <c r="AA64" s="17"/>
      <c r="AB64" s="26"/>
      <c r="AC64" s="25"/>
      <c r="AD64" s="17"/>
      <c r="AE64" s="17"/>
      <c r="AF64" s="17"/>
      <c r="AG64" s="17"/>
      <c r="AH64" s="17"/>
      <c r="AI64" s="17"/>
      <c r="AJ64" s="17"/>
      <c r="AK64" s="17"/>
      <c r="AL64" s="17"/>
      <c r="AM64" s="26"/>
      <c r="AN64" s="81"/>
      <c r="AT64" s="49"/>
      <c r="AU64" s="81"/>
      <c r="BH64" s="82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</row>
    <row r="65" ht="15.75" customHeight="1">
      <c r="A65" s="66"/>
      <c r="B65" s="125" t="s">
        <v>80</v>
      </c>
      <c r="C65" s="22"/>
      <c r="D65" s="22"/>
      <c r="E65" s="22"/>
      <c r="F65" s="22"/>
      <c r="G65" s="84"/>
      <c r="H65" s="8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84"/>
      <c r="AN65" s="81"/>
      <c r="AT65" s="49"/>
      <c r="AU65" s="81"/>
      <c r="BH65" s="82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</row>
    <row r="66" ht="9.0" customHeight="1">
      <c r="A66" s="66"/>
      <c r="B66" s="86"/>
      <c r="G66" s="49"/>
      <c r="H66" s="81"/>
      <c r="AM66" s="49"/>
      <c r="AN66" s="81"/>
      <c r="AT66" s="49"/>
      <c r="AU66" s="81"/>
      <c r="BH66" s="82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</row>
    <row r="67" ht="5.25" customHeight="1">
      <c r="A67" s="66"/>
      <c r="B67" s="87"/>
      <c r="C67" s="68"/>
      <c r="D67" s="68"/>
      <c r="E67" s="68"/>
      <c r="F67" s="68"/>
      <c r="G67" s="88"/>
      <c r="H67" s="89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88"/>
      <c r="AN67" s="89"/>
      <c r="AO67" s="68"/>
      <c r="AP67" s="68"/>
      <c r="AQ67" s="68"/>
      <c r="AR67" s="68"/>
      <c r="AS67" s="68"/>
      <c r="AT67" s="88"/>
      <c r="AU67" s="89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90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</row>
    <row r="69" ht="15.75" customHeight="1">
      <c r="A69" s="66"/>
      <c r="B69" s="126" t="s">
        <v>81</v>
      </c>
      <c r="C69" s="71"/>
      <c r="D69" s="71"/>
      <c r="E69" s="72"/>
      <c r="F69" s="127" t="s">
        <v>82</v>
      </c>
      <c r="G69" s="71"/>
      <c r="H69" s="71"/>
      <c r="I69" s="72"/>
      <c r="J69" s="128" t="s">
        <v>83</v>
      </c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5"/>
      <c r="V69" s="129" t="s">
        <v>93</v>
      </c>
      <c r="W69" s="71"/>
      <c r="X69" s="71"/>
      <c r="Y69" s="71"/>
      <c r="Z69" s="71"/>
      <c r="AA69" s="72"/>
      <c r="AB69" s="97" t="s">
        <v>85</v>
      </c>
      <c r="AC69" s="71"/>
      <c r="AD69" s="71"/>
      <c r="AE69" s="71"/>
      <c r="AF69" s="71"/>
      <c r="AG69" s="72"/>
      <c r="AH69" s="98" t="s">
        <v>46</v>
      </c>
      <c r="AI69" s="71"/>
      <c r="AJ69" s="71"/>
      <c r="AK69" s="71"/>
      <c r="AL69" s="71"/>
      <c r="AM69" s="72"/>
      <c r="AN69" s="96" t="s">
        <v>86</v>
      </c>
      <c r="AO69" s="71"/>
      <c r="AP69" s="71"/>
      <c r="AQ69" s="71"/>
      <c r="AR69" s="71"/>
      <c r="AS69" s="72"/>
      <c r="AT69" s="96" t="s">
        <v>87</v>
      </c>
      <c r="AU69" s="71"/>
      <c r="AV69" s="71"/>
      <c r="AW69" s="71"/>
      <c r="AX69" s="71"/>
      <c r="AY69" s="72"/>
      <c r="AZ69" s="99"/>
      <c r="BA69" s="71"/>
      <c r="BB69" s="71"/>
      <c r="BC69" s="71"/>
      <c r="BD69" s="71"/>
      <c r="BE69" s="71"/>
      <c r="BF69" s="71"/>
      <c r="BG69" s="71"/>
      <c r="BH69" s="78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75" customHeight="1">
      <c r="A70" s="66"/>
      <c r="B70" s="86"/>
      <c r="E70" s="49"/>
      <c r="F70" s="81"/>
      <c r="I70" s="49"/>
      <c r="J70" s="130" t="s">
        <v>94</v>
      </c>
      <c r="K70" s="22"/>
      <c r="L70" s="22"/>
      <c r="M70" s="22"/>
      <c r="N70" s="22"/>
      <c r="O70" s="84"/>
      <c r="P70" s="130" t="s">
        <v>95</v>
      </c>
      <c r="Q70" s="22"/>
      <c r="R70" s="22"/>
      <c r="S70" s="22"/>
      <c r="T70" s="22"/>
      <c r="U70" s="84"/>
      <c r="V70" s="81"/>
      <c r="AA70" s="49"/>
      <c r="AB70" s="81"/>
      <c r="AG70" s="49"/>
      <c r="AH70" s="81"/>
      <c r="AM70" s="49"/>
      <c r="AN70" s="81"/>
      <c r="AS70" s="49"/>
      <c r="AT70" s="81"/>
      <c r="AY70" s="49"/>
      <c r="AZ70" s="81"/>
      <c r="BH70" s="82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</row>
    <row r="71" ht="9.0" customHeight="1">
      <c r="A71" s="66"/>
      <c r="B71" s="80"/>
      <c r="C71" s="17"/>
      <c r="D71" s="17"/>
      <c r="E71" s="26"/>
      <c r="F71" s="25"/>
      <c r="G71" s="17"/>
      <c r="H71" s="17"/>
      <c r="I71" s="26"/>
      <c r="J71" s="25"/>
      <c r="K71" s="17"/>
      <c r="L71" s="17"/>
      <c r="M71" s="17"/>
      <c r="N71" s="17"/>
      <c r="O71" s="26"/>
      <c r="P71" s="25"/>
      <c r="Q71" s="17"/>
      <c r="R71" s="17"/>
      <c r="S71" s="17"/>
      <c r="T71" s="17"/>
      <c r="U71" s="26"/>
      <c r="V71" s="25"/>
      <c r="W71" s="17"/>
      <c r="X71" s="17"/>
      <c r="Y71" s="17"/>
      <c r="Z71" s="17"/>
      <c r="AA71" s="26"/>
      <c r="AB71" s="25"/>
      <c r="AC71" s="17"/>
      <c r="AD71" s="17"/>
      <c r="AE71" s="17"/>
      <c r="AF71" s="17"/>
      <c r="AG71" s="26"/>
      <c r="AH71" s="25"/>
      <c r="AI71" s="17"/>
      <c r="AJ71" s="17"/>
      <c r="AK71" s="17"/>
      <c r="AL71" s="17"/>
      <c r="AM71" s="26"/>
      <c r="AN71" s="25"/>
      <c r="AO71" s="17"/>
      <c r="AP71" s="17"/>
      <c r="AQ71" s="17"/>
      <c r="AR71" s="17"/>
      <c r="AS71" s="26"/>
      <c r="AT71" s="25"/>
      <c r="AU71" s="17"/>
      <c r="AV71" s="17"/>
      <c r="AW71" s="17"/>
      <c r="AX71" s="17"/>
      <c r="AY71" s="26"/>
      <c r="AZ71" s="25"/>
      <c r="BA71" s="17"/>
      <c r="BB71" s="17"/>
      <c r="BC71" s="17"/>
      <c r="BD71" s="17"/>
      <c r="BE71" s="17"/>
      <c r="BF71" s="17"/>
      <c r="BG71" s="17"/>
      <c r="BH71" s="101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</row>
    <row r="72" ht="30.0" customHeight="1">
      <c r="A72" s="66"/>
      <c r="B72" s="113"/>
      <c r="C72" s="20"/>
      <c r="D72" s="20"/>
      <c r="E72" s="20"/>
      <c r="F72" s="107"/>
      <c r="G72" s="20"/>
      <c r="H72" s="20"/>
      <c r="I72" s="104"/>
      <c r="J72" s="107"/>
      <c r="K72" s="20"/>
      <c r="L72" s="20"/>
      <c r="M72" s="20"/>
      <c r="N72" s="20"/>
      <c r="O72" s="104"/>
      <c r="P72" s="107"/>
      <c r="Q72" s="20"/>
      <c r="R72" s="20"/>
      <c r="S72" s="20"/>
      <c r="T72" s="20"/>
      <c r="U72" s="104"/>
      <c r="V72" s="107"/>
      <c r="W72" s="20"/>
      <c r="X72" s="20"/>
      <c r="Y72" s="20"/>
      <c r="Z72" s="20"/>
      <c r="AA72" s="104"/>
      <c r="AB72" s="106"/>
      <c r="AC72" s="20"/>
      <c r="AD72" s="20"/>
      <c r="AE72" s="20"/>
      <c r="AF72" s="20"/>
      <c r="AG72" s="104"/>
      <c r="AH72" s="106"/>
      <c r="AI72" s="20"/>
      <c r="AJ72" s="20"/>
      <c r="AK72" s="20"/>
      <c r="AL72" s="20"/>
      <c r="AM72" s="104"/>
      <c r="AN72" s="106"/>
      <c r="AO72" s="20"/>
      <c r="AP72" s="20"/>
      <c r="AQ72" s="20"/>
      <c r="AR72" s="20"/>
      <c r="AS72" s="104"/>
      <c r="AT72" s="107"/>
      <c r="AU72" s="20"/>
      <c r="AV72" s="20"/>
      <c r="AW72" s="20"/>
      <c r="AX72" s="20"/>
      <c r="AY72" s="104"/>
      <c r="AZ72" s="107"/>
      <c r="BA72" s="20"/>
      <c r="BB72" s="20"/>
      <c r="BC72" s="20"/>
      <c r="BD72" s="20"/>
      <c r="BE72" s="20"/>
      <c r="BF72" s="20"/>
      <c r="BG72" s="20"/>
      <c r="BH72" s="10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 ht="30.0" customHeight="1">
      <c r="A73" s="66"/>
      <c r="B73" s="113"/>
      <c r="C73" s="20"/>
      <c r="D73" s="20"/>
      <c r="E73" s="20"/>
      <c r="F73" s="107"/>
      <c r="G73" s="20"/>
      <c r="H73" s="20"/>
      <c r="I73" s="104"/>
      <c r="J73" s="110"/>
      <c r="K73" s="20"/>
      <c r="L73" s="20"/>
      <c r="M73" s="20"/>
      <c r="N73" s="20"/>
      <c r="O73" s="104"/>
      <c r="P73" s="110"/>
      <c r="Q73" s="20"/>
      <c r="R73" s="20"/>
      <c r="S73" s="20"/>
      <c r="T73" s="20"/>
      <c r="U73" s="104"/>
      <c r="V73" s="107"/>
      <c r="W73" s="20"/>
      <c r="X73" s="20"/>
      <c r="Y73" s="20"/>
      <c r="Z73" s="20"/>
      <c r="AA73" s="104"/>
      <c r="AB73" s="106"/>
      <c r="AC73" s="20"/>
      <c r="AD73" s="20"/>
      <c r="AE73" s="20"/>
      <c r="AF73" s="20"/>
      <c r="AG73" s="104"/>
      <c r="AH73" s="106"/>
      <c r="AI73" s="20"/>
      <c r="AJ73" s="20"/>
      <c r="AK73" s="20"/>
      <c r="AL73" s="20"/>
      <c r="AM73" s="104"/>
      <c r="AN73" s="106"/>
      <c r="AO73" s="20"/>
      <c r="AP73" s="20"/>
      <c r="AQ73" s="20"/>
      <c r="AR73" s="20"/>
      <c r="AS73" s="104"/>
      <c r="AT73" s="107"/>
      <c r="AU73" s="20"/>
      <c r="AV73" s="20"/>
      <c r="AW73" s="20"/>
      <c r="AX73" s="20"/>
      <c r="AY73" s="104"/>
      <c r="AZ73" s="107"/>
      <c r="BA73" s="20"/>
      <c r="BB73" s="20"/>
      <c r="BC73" s="20"/>
      <c r="BD73" s="20"/>
      <c r="BE73" s="20"/>
      <c r="BF73" s="20"/>
      <c r="BG73" s="20"/>
      <c r="BH73" s="10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</row>
    <row r="74" ht="30.0" customHeight="1">
      <c r="A74" s="66"/>
      <c r="B74" s="113"/>
      <c r="C74" s="20"/>
      <c r="D74" s="20"/>
      <c r="E74" s="20"/>
      <c r="F74" s="107"/>
      <c r="G74" s="20"/>
      <c r="H74" s="20"/>
      <c r="I74" s="104"/>
      <c r="J74" s="107"/>
      <c r="K74" s="20"/>
      <c r="L74" s="20"/>
      <c r="M74" s="20"/>
      <c r="N74" s="20"/>
      <c r="O74" s="104"/>
      <c r="P74" s="107"/>
      <c r="Q74" s="20"/>
      <c r="R74" s="20"/>
      <c r="S74" s="20"/>
      <c r="T74" s="20"/>
      <c r="U74" s="104"/>
      <c r="V74" s="107"/>
      <c r="W74" s="20"/>
      <c r="X74" s="20"/>
      <c r="Y74" s="20"/>
      <c r="Z74" s="20"/>
      <c r="AA74" s="104"/>
      <c r="AB74" s="106"/>
      <c r="AC74" s="20"/>
      <c r="AD74" s="20"/>
      <c r="AE74" s="20"/>
      <c r="AF74" s="20"/>
      <c r="AG74" s="104"/>
      <c r="AH74" s="106"/>
      <c r="AI74" s="20"/>
      <c r="AJ74" s="20"/>
      <c r="AK74" s="20"/>
      <c r="AL74" s="20"/>
      <c r="AM74" s="104"/>
      <c r="AN74" s="106"/>
      <c r="AO74" s="20"/>
      <c r="AP74" s="20"/>
      <c r="AQ74" s="20"/>
      <c r="AR74" s="20"/>
      <c r="AS74" s="104"/>
      <c r="AT74" s="107"/>
      <c r="AU74" s="20"/>
      <c r="AV74" s="20"/>
      <c r="AW74" s="20"/>
      <c r="AX74" s="20"/>
      <c r="AY74" s="104"/>
      <c r="AZ74" s="107"/>
      <c r="BA74" s="20"/>
      <c r="BB74" s="20"/>
      <c r="BC74" s="20"/>
      <c r="BD74" s="20"/>
      <c r="BE74" s="20"/>
      <c r="BF74" s="20"/>
      <c r="BG74" s="20"/>
      <c r="BH74" s="10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</row>
    <row r="75" ht="30.0" customHeight="1">
      <c r="A75" s="66"/>
      <c r="B75" s="113"/>
      <c r="C75" s="20"/>
      <c r="D75" s="20"/>
      <c r="E75" s="20"/>
      <c r="F75" s="107"/>
      <c r="G75" s="20"/>
      <c r="H75" s="20"/>
      <c r="I75" s="104"/>
      <c r="J75" s="110"/>
      <c r="K75" s="20"/>
      <c r="L75" s="20"/>
      <c r="M75" s="20"/>
      <c r="N75" s="20"/>
      <c r="O75" s="104"/>
      <c r="P75" s="110"/>
      <c r="Q75" s="20"/>
      <c r="R75" s="20"/>
      <c r="S75" s="20"/>
      <c r="T75" s="20"/>
      <c r="U75" s="104"/>
      <c r="V75" s="107"/>
      <c r="W75" s="20"/>
      <c r="X75" s="20"/>
      <c r="Y75" s="20"/>
      <c r="Z75" s="20"/>
      <c r="AA75" s="104"/>
      <c r="AB75" s="106"/>
      <c r="AC75" s="20"/>
      <c r="AD75" s="20"/>
      <c r="AE75" s="20"/>
      <c r="AF75" s="20"/>
      <c r="AG75" s="104"/>
      <c r="AH75" s="106"/>
      <c r="AI75" s="20"/>
      <c r="AJ75" s="20"/>
      <c r="AK75" s="20"/>
      <c r="AL75" s="20"/>
      <c r="AM75" s="104"/>
      <c r="AN75" s="106"/>
      <c r="AO75" s="20"/>
      <c r="AP75" s="20"/>
      <c r="AQ75" s="20"/>
      <c r="AR75" s="20"/>
      <c r="AS75" s="104"/>
      <c r="AT75" s="107"/>
      <c r="AU75" s="20"/>
      <c r="AV75" s="20"/>
      <c r="AW75" s="20"/>
      <c r="AX75" s="20"/>
      <c r="AY75" s="104"/>
      <c r="AZ75" s="107"/>
      <c r="BA75" s="20"/>
      <c r="BB75" s="20"/>
      <c r="BC75" s="20"/>
      <c r="BD75" s="20"/>
      <c r="BE75" s="20"/>
      <c r="BF75" s="20"/>
      <c r="BG75" s="20"/>
      <c r="BH75" s="10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</row>
    <row r="76" ht="30.0" customHeight="1">
      <c r="A76" s="66"/>
      <c r="B76" s="113"/>
      <c r="C76" s="20"/>
      <c r="D76" s="20"/>
      <c r="E76" s="20"/>
      <c r="F76" s="107"/>
      <c r="G76" s="20"/>
      <c r="H76" s="20"/>
      <c r="I76" s="104"/>
      <c r="J76" s="107"/>
      <c r="K76" s="20"/>
      <c r="L76" s="20"/>
      <c r="M76" s="20"/>
      <c r="N76" s="20"/>
      <c r="O76" s="104"/>
      <c r="P76" s="107"/>
      <c r="Q76" s="20"/>
      <c r="R76" s="20"/>
      <c r="S76" s="20"/>
      <c r="T76" s="20"/>
      <c r="U76" s="104"/>
      <c r="V76" s="107"/>
      <c r="W76" s="20"/>
      <c r="X76" s="20"/>
      <c r="Y76" s="20"/>
      <c r="Z76" s="20"/>
      <c r="AA76" s="104"/>
      <c r="AB76" s="106"/>
      <c r="AC76" s="20"/>
      <c r="AD76" s="20"/>
      <c r="AE76" s="20"/>
      <c r="AF76" s="20"/>
      <c r="AG76" s="104"/>
      <c r="AH76" s="106"/>
      <c r="AI76" s="20"/>
      <c r="AJ76" s="20"/>
      <c r="AK76" s="20"/>
      <c r="AL76" s="20"/>
      <c r="AM76" s="104"/>
      <c r="AN76" s="106"/>
      <c r="AO76" s="20"/>
      <c r="AP76" s="20"/>
      <c r="AQ76" s="20"/>
      <c r="AR76" s="20"/>
      <c r="AS76" s="104"/>
      <c r="AT76" s="107"/>
      <c r="AU76" s="20"/>
      <c r="AV76" s="20"/>
      <c r="AW76" s="20"/>
      <c r="AX76" s="20"/>
      <c r="AY76" s="104"/>
      <c r="AZ76" s="107"/>
      <c r="BA76" s="20"/>
      <c r="BB76" s="20"/>
      <c r="BC76" s="20"/>
      <c r="BD76" s="20"/>
      <c r="BE76" s="20"/>
      <c r="BF76" s="20"/>
      <c r="BG76" s="20"/>
      <c r="BH76" s="10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</row>
    <row r="77" ht="30.0" customHeight="1">
      <c r="A77" s="66"/>
      <c r="B77" s="113"/>
      <c r="C77" s="20"/>
      <c r="D77" s="20"/>
      <c r="E77" s="20"/>
      <c r="F77" s="107"/>
      <c r="G77" s="20"/>
      <c r="H77" s="20"/>
      <c r="I77" s="104"/>
      <c r="J77" s="110"/>
      <c r="K77" s="20"/>
      <c r="L77" s="20"/>
      <c r="M77" s="20"/>
      <c r="N77" s="20"/>
      <c r="O77" s="104"/>
      <c r="P77" s="110"/>
      <c r="Q77" s="20"/>
      <c r="R77" s="20"/>
      <c r="S77" s="20"/>
      <c r="T77" s="20"/>
      <c r="U77" s="104"/>
      <c r="V77" s="107"/>
      <c r="W77" s="20"/>
      <c r="X77" s="20"/>
      <c r="Y77" s="20"/>
      <c r="Z77" s="20"/>
      <c r="AA77" s="104"/>
      <c r="AB77" s="106"/>
      <c r="AC77" s="20"/>
      <c r="AD77" s="20"/>
      <c r="AE77" s="20"/>
      <c r="AF77" s="20"/>
      <c r="AG77" s="104"/>
      <c r="AH77" s="106"/>
      <c r="AI77" s="20"/>
      <c r="AJ77" s="20"/>
      <c r="AK77" s="20"/>
      <c r="AL77" s="20"/>
      <c r="AM77" s="104"/>
      <c r="AN77" s="106"/>
      <c r="AO77" s="20"/>
      <c r="AP77" s="20"/>
      <c r="AQ77" s="20"/>
      <c r="AR77" s="20"/>
      <c r="AS77" s="104"/>
      <c r="AT77" s="107"/>
      <c r="AU77" s="20"/>
      <c r="AV77" s="20"/>
      <c r="AW77" s="20"/>
      <c r="AX77" s="20"/>
      <c r="AY77" s="104"/>
      <c r="AZ77" s="107"/>
      <c r="BA77" s="20"/>
      <c r="BB77" s="20"/>
      <c r="BC77" s="20"/>
      <c r="BD77" s="20"/>
      <c r="BE77" s="20"/>
      <c r="BF77" s="20"/>
      <c r="BG77" s="20"/>
      <c r="BH77" s="10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</row>
    <row r="78" ht="30.0" customHeight="1">
      <c r="A78" s="66"/>
      <c r="B78" s="113"/>
      <c r="C78" s="20"/>
      <c r="D78" s="20"/>
      <c r="E78" s="20"/>
      <c r="F78" s="107"/>
      <c r="G78" s="20"/>
      <c r="H78" s="20"/>
      <c r="I78" s="104"/>
      <c r="J78" s="107"/>
      <c r="K78" s="20"/>
      <c r="L78" s="20"/>
      <c r="M78" s="20"/>
      <c r="N78" s="20"/>
      <c r="O78" s="104"/>
      <c r="P78" s="107"/>
      <c r="Q78" s="20"/>
      <c r="R78" s="20"/>
      <c r="S78" s="20"/>
      <c r="T78" s="20"/>
      <c r="U78" s="104"/>
      <c r="V78" s="107"/>
      <c r="W78" s="20"/>
      <c r="X78" s="20"/>
      <c r="Y78" s="20"/>
      <c r="Z78" s="20"/>
      <c r="AA78" s="104"/>
      <c r="AB78" s="106"/>
      <c r="AC78" s="20"/>
      <c r="AD78" s="20"/>
      <c r="AE78" s="20"/>
      <c r="AF78" s="20"/>
      <c r="AG78" s="104"/>
      <c r="AH78" s="106"/>
      <c r="AI78" s="20"/>
      <c r="AJ78" s="20"/>
      <c r="AK78" s="20"/>
      <c r="AL78" s="20"/>
      <c r="AM78" s="104"/>
      <c r="AN78" s="106"/>
      <c r="AO78" s="20"/>
      <c r="AP78" s="20"/>
      <c r="AQ78" s="20"/>
      <c r="AR78" s="20"/>
      <c r="AS78" s="104"/>
      <c r="AT78" s="107"/>
      <c r="AU78" s="20"/>
      <c r="AV78" s="20"/>
      <c r="AW78" s="20"/>
      <c r="AX78" s="20"/>
      <c r="AY78" s="104"/>
      <c r="AZ78" s="107"/>
      <c r="BA78" s="20"/>
      <c r="BB78" s="20"/>
      <c r="BC78" s="20"/>
      <c r="BD78" s="20"/>
      <c r="BE78" s="20"/>
      <c r="BF78" s="20"/>
      <c r="BG78" s="20"/>
      <c r="BH78" s="10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</row>
    <row r="79" ht="30.0" customHeight="1">
      <c r="A79" s="66"/>
      <c r="B79" s="113"/>
      <c r="C79" s="20"/>
      <c r="D79" s="20"/>
      <c r="E79" s="20"/>
      <c r="F79" s="107"/>
      <c r="G79" s="20"/>
      <c r="H79" s="20"/>
      <c r="I79" s="104"/>
      <c r="J79" s="110"/>
      <c r="K79" s="20"/>
      <c r="L79" s="20"/>
      <c r="M79" s="20"/>
      <c r="N79" s="20"/>
      <c r="O79" s="104"/>
      <c r="P79" s="110"/>
      <c r="Q79" s="20"/>
      <c r="R79" s="20"/>
      <c r="S79" s="20"/>
      <c r="T79" s="20"/>
      <c r="U79" s="104"/>
      <c r="V79" s="107"/>
      <c r="W79" s="20"/>
      <c r="X79" s="20"/>
      <c r="Y79" s="20"/>
      <c r="Z79" s="20"/>
      <c r="AA79" s="104"/>
      <c r="AB79" s="106"/>
      <c r="AC79" s="20"/>
      <c r="AD79" s="20"/>
      <c r="AE79" s="20"/>
      <c r="AF79" s="20"/>
      <c r="AG79" s="104"/>
      <c r="AH79" s="106"/>
      <c r="AI79" s="20"/>
      <c r="AJ79" s="20"/>
      <c r="AK79" s="20"/>
      <c r="AL79" s="20"/>
      <c r="AM79" s="104"/>
      <c r="AN79" s="106"/>
      <c r="AO79" s="20"/>
      <c r="AP79" s="20"/>
      <c r="AQ79" s="20"/>
      <c r="AR79" s="20"/>
      <c r="AS79" s="104"/>
      <c r="AT79" s="107"/>
      <c r="AU79" s="20"/>
      <c r="AV79" s="20"/>
      <c r="AW79" s="20"/>
      <c r="AX79" s="20"/>
      <c r="AY79" s="104"/>
      <c r="AZ79" s="107"/>
      <c r="BA79" s="20"/>
      <c r="BB79" s="20"/>
      <c r="BC79" s="20"/>
      <c r="BD79" s="20"/>
      <c r="BE79" s="20"/>
      <c r="BF79" s="20"/>
      <c r="BG79" s="20"/>
      <c r="BH79" s="10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</row>
    <row r="80" ht="30.0" customHeight="1">
      <c r="A80" s="66"/>
      <c r="B80" s="113"/>
      <c r="C80" s="20"/>
      <c r="D80" s="20"/>
      <c r="E80" s="20"/>
      <c r="F80" s="107"/>
      <c r="G80" s="20"/>
      <c r="H80" s="20"/>
      <c r="I80" s="104"/>
      <c r="J80" s="107"/>
      <c r="K80" s="20"/>
      <c r="L80" s="20"/>
      <c r="M80" s="20"/>
      <c r="N80" s="20"/>
      <c r="O80" s="104"/>
      <c r="P80" s="107"/>
      <c r="Q80" s="20"/>
      <c r="R80" s="20"/>
      <c r="S80" s="20"/>
      <c r="T80" s="20"/>
      <c r="U80" s="104"/>
      <c r="V80" s="107"/>
      <c r="W80" s="20"/>
      <c r="X80" s="20"/>
      <c r="Y80" s="20"/>
      <c r="Z80" s="20"/>
      <c r="AA80" s="104"/>
      <c r="AB80" s="106"/>
      <c r="AC80" s="20"/>
      <c r="AD80" s="20"/>
      <c r="AE80" s="20"/>
      <c r="AF80" s="20"/>
      <c r="AG80" s="104"/>
      <c r="AH80" s="106"/>
      <c r="AI80" s="20"/>
      <c r="AJ80" s="20"/>
      <c r="AK80" s="20"/>
      <c r="AL80" s="20"/>
      <c r="AM80" s="104"/>
      <c r="AN80" s="106"/>
      <c r="AO80" s="20"/>
      <c r="AP80" s="20"/>
      <c r="AQ80" s="20"/>
      <c r="AR80" s="20"/>
      <c r="AS80" s="104"/>
      <c r="AT80" s="107"/>
      <c r="AU80" s="20"/>
      <c r="AV80" s="20"/>
      <c r="AW80" s="20"/>
      <c r="AX80" s="20"/>
      <c r="AY80" s="104"/>
      <c r="AZ80" s="107"/>
      <c r="BA80" s="20"/>
      <c r="BB80" s="20"/>
      <c r="BC80" s="20"/>
      <c r="BD80" s="20"/>
      <c r="BE80" s="20"/>
      <c r="BF80" s="20"/>
      <c r="BG80" s="20"/>
      <c r="BH80" s="10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</row>
    <row r="81" ht="30.0" customHeight="1">
      <c r="A81" s="66"/>
      <c r="B81" s="113"/>
      <c r="C81" s="20"/>
      <c r="D81" s="20"/>
      <c r="E81" s="20"/>
      <c r="F81" s="107"/>
      <c r="G81" s="20"/>
      <c r="H81" s="20"/>
      <c r="I81" s="104"/>
      <c r="J81" s="110"/>
      <c r="K81" s="20"/>
      <c r="L81" s="20"/>
      <c r="M81" s="20"/>
      <c r="N81" s="20"/>
      <c r="O81" s="104"/>
      <c r="P81" s="110"/>
      <c r="Q81" s="20"/>
      <c r="R81" s="20"/>
      <c r="S81" s="20"/>
      <c r="T81" s="20"/>
      <c r="U81" s="104"/>
      <c r="V81" s="107"/>
      <c r="W81" s="20"/>
      <c r="X81" s="20"/>
      <c r="Y81" s="20"/>
      <c r="Z81" s="20"/>
      <c r="AA81" s="104"/>
      <c r="AB81" s="106"/>
      <c r="AC81" s="20"/>
      <c r="AD81" s="20"/>
      <c r="AE81" s="20"/>
      <c r="AF81" s="20"/>
      <c r="AG81" s="104"/>
      <c r="AH81" s="106"/>
      <c r="AI81" s="20"/>
      <c r="AJ81" s="20"/>
      <c r="AK81" s="20"/>
      <c r="AL81" s="20"/>
      <c r="AM81" s="104"/>
      <c r="AN81" s="106"/>
      <c r="AO81" s="20"/>
      <c r="AP81" s="20"/>
      <c r="AQ81" s="20"/>
      <c r="AR81" s="20"/>
      <c r="AS81" s="104"/>
      <c r="AT81" s="107"/>
      <c r="AU81" s="20"/>
      <c r="AV81" s="20"/>
      <c r="AW81" s="20"/>
      <c r="AX81" s="20"/>
      <c r="AY81" s="104"/>
      <c r="AZ81" s="107"/>
      <c r="BA81" s="20"/>
      <c r="BB81" s="20"/>
      <c r="BC81" s="20"/>
      <c r="BD81" s="20"/>
      <c r="BE81" s="20"/>
      <c r="BF81" s="20"/>
      <c r="BG81" s="20"/>
      <c r="BH81" s="10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</row>
    <row r="82" ht="30.0" customHeight="1">
      <c r="A82" s="66"/>
      <c r="B82" s="113"/>
      <c r="C82" s="20"/>
      <c r="D82" s="20"/>
      <c r="E82" s="20"/>
      <c r="F82" s="107"/>
      <c r="G82" s="20"/>
      <c r="H82" s="20"/>
      <c r="I82" s="104"/>
      <c r="J82" s="107"/>
      <c r="K82" s="20"/>
      <c r="L82" s="20"/>
      <c r="M82" s="20"/>
      <c r="N82" s="20"/>
      <c r="O82" s="104"/>
      <c r="P82" s="107"/>
      <c r="Q82" s="20"/>
      <c r="R82" s="20"/>
      <c r="S82" s="20"/>
      <c r="T82" s="20"/>
      <c r="U82" s="104"/>
      <c r="V82" s="107"/>
      <c r="W82" s="20"/>
      <c r="X82" s="20"/>
      <c r="Y82" s="20"/>
      <c r="Z82" s="20"/>
      <c r="AA82" s="104"/>
      <c r="AB82" s="106"/>
      <c r="AC82" s="20"/>
      <c r="AD82" s="20"/>
      <c r="AE82" s="20"/>
      <c r="AF82" s="20"/>
      <c r="AG82" s="104"/>
      <c r="AH82" s="106"/>
      <c r="AI82" s="20"/>
      <c r="AJ82" s="20"/>
      <c r="AK82" s="20"/>
      <c r="AL82" s="20"/>
      <c r="AM82" s="104"/>
      <c r="AN82" s="106"/>
      <c r="AO82" s="20"/>
      <c r="AP82" s="20"/>
      <c r="AQ82" s="20"/>
      <c r="AR82" s="20"/>
      <c r="AS82" s="104"/>
      <c r="AT82" s="107"/>
      <c r="AU82" s="20"/>
      <c r="AV82" s="20"/>
      <c r="AW82" s="20"/>
      <c r="AX82" s="20"/>
      <c r="AY82" s="104"/>
      <c r="AZ82" s="107"/>
      <c r="BA82" s="20"/>
      <c r="BB82" s="20"/>
      <c r="BC82" s="20"/>
      <c r="BD82" s="20"/>
      <c r="BE82" s="20"/>
      <c r="BF82" s="20"/>
      <c r="BG82" s="20"/>
      <c r="BH82" s="10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</row>
    <row r="83" ht="30.0" customHeight="1">
      <c r="A83" s="66"/>
      <c r="B83" s="113"/>
      <c r="C83" s="20"/>
      <c r="D83" s="20"/>
      <c r="E83" s="20"/>
      <c r="F83" s="107"/>
      <c r="G83" s="20"/>
      <c r="H83" s="20"/>
      <c r="I83" s="104"/>
      <c r="J83" s="110"/>
      <c r="K83" s="20"/>
      <c r="L83" s="20"/>
      <c r="M83" s="20"/>
      <c r="N83" s="20"/>
      <c r="O83" s="104"/>
      <c r="P83" s="110"/>
      <c r="Q83" s="20"/>
      <c r="R83" s="20"/>
      <c r="S83" s="20"/>
      <c r="T83" s="20"/>
      <c r="U83" s="104"/>
      <c r="V83" s="107"/>
      <c r="W83" s="20"/>
      <c r="X83" s="20"/>
      <c r="Y83" s="20"/>
      <c r="Z83" s="20"/>
      <c r="AA83" s="104"/>
      <c r="AB83" s="106"/>
      <c r="AC83" s="20"/>
      <c r="AD83" s="20"/>
      <c r="AE83" s="20"/>
      <c r="AF83" s="20"/>
      <c r="AG83" s="104"/>
      <c r="AH83" s="106"/>
      <c r="AI83" s="20"/>
      <c r="AJ83" s="20"/>
      <c r="AK83" s="20"/>
      <c r="AL83" s="20"/>
      <c r="AM83" s="104"/>
      <c r="AN83" s="106"/>
      <c r="AO83" s="20"/>
      <c r="AP83" s="20"/>
      <c r="AQ83" s="20"/>
      <c r="AR83" s="20"/>
      <c r="AS83" s="104"/>
      <c r="AT83" s="107"/>
      <c r="AU83" s="20"/>
      <c r="AV83" s="20"/>
      <c r="AW83" s="20"/>
      <c r="AX83" s="20"/>
      <c r="AY83" s="104"/>
      <c r="AZ83" s="107"/>
      <c r="BA83" s="20"/>
      <c r="BB83" s="20"/>
      <c r="BC83" s="20"/>
      <c r="BD83" s="20"/>
      <c r="BE83" s="20"/>
      <c r="BF83" s="20"/>
      <c r="BG83" s="20"/>
      <c r="BH83" s="10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</row>
    <row r="84" ht="30.0" customHeight="1">
      <c r="A84" s="66"/>
      <c r="B84" s="113"/>
      <c r="C84" s="20"/>
      <c r="D84" s="20"/>
      <c r="E84" s="20"/>
      <c r="F84" s="107"/>
      <c r="G84" s="20"/>
      <c r="H84" s="20"/>
      <c r="I84" s="104"/>
      <c r="J84" s="107"/>
      <c r="K84" s="20"/>
      <c r="L84" s="20"/>
      <c r="M84" s="20"/>
      <c r="N84" s="20"/>
      <c r="O84" s="104"/>
      <c r="P84" s="107"/>
      <c r="Q84" s="20"/>
      <c r="R84" s="20"/>
      <c r="S84" s="20"/>
      <c r="T84" s="20"/>
      <c r="U84" s="104"/>
      <c r="V84" s="107"/>
      <c r="W84" s="20"/>
      <c r="X84" s="20"/>
      <c r="Y84" s="20"/>
      <c r="Z84" s="20"/>
      <c r="AA84" s="104"/>
      <c r="AB84" s="106"/>
      <c r="AC84" s="20"/>
      <c r="AD84" s="20"/>
      <c r="AE84" s="20"/>
      <c r="AF84" s="20"/>
      <c r="AG84" s="104"/>
      <c r="AH84" s="106"/>
      <c r="AI84" s="20"/>
      <c r="AJ84" s="20"/>
      <c r="AK84" s="20"/>
      <c r="AL84" s="20"/>
      <c r="AM84" s="104"/>
      <c r="AN84" s="106"/>
      <c r="AO84" s="20"/>
      <c r="AP84" s="20"/>
      <c r="AQ84" s="20"/>
      <c r="AR84" s="20"/>
      <c r="AS84" s="104"/>
      <c r="AT84" s="107"/>
      <c r="AU84" s="20"/>
      <c r="AV84" s="20"/>
      <c r="AW84" s="20"/>
      <c r="AX84" s="20"/>
      <c r="AY84" s="104"/>
      <c r="AZ84" s="107"/>
      <c r="BA84" s="20"/>
      <c r="BB84" s="20"/>
      <c r="BC84" s="20"/>
      <c r="BD84" s="20"/>
      <c r="BE84" s="20"/>
      <c r="BF84" s="20"/>
      <c r="BG84" s="20"/>
      <c r="BH84" s="10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</row>
    <row r="85" ht="30.0" customHeight="1">
      <c r="A85" s="66"/>
      <c r="B85" s="113"/>
      <c r="C85" s="20"/>
      <c r="D85" s="20"/>
      <c r="E85" s="20"/>
      <c r="F85" s="107"/>
      <c r="G85" s="20"/>
      <c r="H85" s="20"/>
      <c r="I85" s="104"/>
      <c r="J85" s="110"/>
      <c r="K85" s="20"/>
      <c r="L85" s="20"/>
      <c r="M85" s="20"/>
      <c r="N85" s="20"/>
      <c r="O85" s="104"/>
      <c r="P85" s="110"/>
      <c r="Q85" s="20"/>
      <c r="R85" s="20"/>
      <c r="S85" s="20"/>
      <c r="T85" s="20"/>
      <c r="U85" s="104"/>
      <c r="V85" s="107"/>
      <c r="W85" s="20"/>
      <c r="X85" s="20"/>
      <c r="Y85" s="20"/>
      <c r="Z85" s="20"/>
      <c r="AA85" s="104"/>
      <c r="AB85" s="106"/>
      <c r="AC85" s="20"/>
      <c r="AD85" s="20"/>
      <c r="AE85" s="20"/>
      <c r="AF85" s="20"/>
      <c r="AG85" s="104"/>
      <c r="AH85" s="106"/>
      <c r="AI85" s="20"/>
      <c r="AJ85" s="20"/>
      <c r="AK85" s="20"/>
      <c r="AL85" s="20"/>
      <c r="AM85" s="104"/>
      <c r="AN85" s="106"/>
      <c r="AO85" s="20"/>
      <c r="AP85" s="20"/>
      <c r="AQ85" s="20"/>
      <c r="AR85" s="20"/>
      <c r="AS85" s="104"/>
      <c r="AT85" s="107"/>
      <c r="AU85" s="20"/>
      <c r="AV85" s="20"/>
      <c r="AW85" s="20"/>
      <c r="AX85" s="20"/>
      <c r="AY85" s="104"/>
      <c r="AZ85" s="107"/>
      <c r="BA85" s="20"/>
      <c r="BB85" s="20"/>
      <c r="BC85" s="20"/>
      <c r="BD85" s="20"/>
      <c r="BE85" s="20"/>
      <c r="BF85" s="20"/>
      <c r="BG85" s="20"/>
      <c r="BH85" s="10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</row>
    <row r="86" ht="30.0" customHeight="1">
      <c r="A86" s="66"/>
      <c r="B86" s="113"/>
      <c r="C86" s="20"/>
      <c r="D86" s="20"/>
      <c r="E86" s="20"/>
      <c r="F86" s="107"/>
      <c r="G86" s="20"/>
      <c r="H86" s="20"/>
      <c r="I86" s="104"/>
      <c r="J86" s="107"/>
      <c r="K86" s="20"/>
      <c r="L86" s="20"/>
      <c r="M86" s="20"/>
      <c r="N86" s="20"/>
      <c r="O86" s="104"/>
      <c r="P86" s="107"/>
      <c r="Q86" s="20"/>
      <c r="R86" s="20"/>
      <c r="S86" s="20"/>
      <c r="T86" s="20"/>
      <c r="U86" s="104"/>
      <c r="V86" s="107"/>
      <c r="W86" s="20"/>
      <c r="X86" s="20"/>
      <c r="Y86" s="20"/>
      <c r="Z86" s="20"/>
      <c r="AA86" s="104"/>
      <c r="AB86" s="106"/>
      <c r="AC86" s="20"/>
      <c r="AD86" s="20"/>
      <c r="AE86" s="20"/>
      <c r="AF86" s="20"/>
      <c r="AG86" s="104"/>
      <c r="AH86" s="106"/>
      <c r="AI86" s="20"/>
      <c r="AJ86" s="20"/>
      <c r="AK86" s="20"/>
      <c r="AL86" s="20"/>
      <c r="AM86" s="104"/>
      <c r="AN86" s="106"/>
      <c r="AO86" s="20"/>
      <c r="AP86" s="20"/>
      <c r="AQ86" s="20"/>
      <c r="AR86" s="20"/>
      <c r="AS86" s="104"/>
      <c r="AT86" s="107"/>
      <c r="AU86" s="20"/>
      <c r="AV86" s="20"/>
      <c r="AW86" s="20"/>
      <c r="AX86" s="20"/>
      <c r="AY86" s="104"/>
      <c r="AZ86" s="107"/>
      <c r="BA86" s="20"/>
      <c r="BB86" s="20"/>
      <c r="BC86" s="20"/>
      <c r="BD86" s="20"/>
      <c r="BE86" s="20"/>
      <c r="BF86" s="20"/>
      <c r="BG86" s="20"/>
      <c r="BH86" s="10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</row>
    <row r="87" ht="30.0" customHeight="1">
      <c r="A87" s="66"/>
      <c r="B87" s="113"/>
      <c r="C87" s="20"/>
      <c r="D87" s="20"/>
      <c r="E87" s="20"/>
      <c r="F87" s="107"/>
      <c r="G87" s="20"/>
      <c r="H87" s="20"/>
      <c r="I87" s="104"/>
      <c r="J87" s="110"/>
      <c r="K87" s="20"/>
      <c r="L87" s="20"/>
      <c r="M87" s="20"/>
      <c r="N87" s="20"/>
      <c r="O87" s="104"/>
      <c r="P87" s="110"/>
      <c r="Q87" s="20"/>
      <c r="R87" s="20"/>
      <c r="S87" s="20"/>
      <c r="T87" s="20"/>
      <c r="U87" s="104"/>
      <c r="V87" s="107"/>
      <c r="W87" s="20"/>
      <c r="X87" s="20"/>
      <c r="Y87" s="20"/>
      <c r="Z87" s="20"/>
      <c r="AA87" s="104"/>
      <c r="AB87" s="106"/>
      <c r="AC87" s="20"/>
      <c r="AD87" s="20"/>
      <c r="AE87" s="20"/>
      <c r="AF87" s="20"/>
      <c r="AG87" s="104"/>
      <c r="AH87" s="106"/>
      <c r="AI87" s="20"/>
      <c r="AJ87" s="20"/>
      <c r="AK87" s="20"/>
      <c r="AL87" s="20"/>
      <c r="AM87" s="104"/>
      <c r="AN87" s="106"/>
      <c r="AO87" s="20"/>
      <c r="AP87" s="20"/>
      <c r="AQ87" s="20"/>
      <c r="AR87" s="20"/>
      <c r="AS87" s="104"/>
      <c r="AT87" s="107"/>
      <c r="AU87" s="20"/>
      <c r="AV87" s="20"/>
      <c r="AW87" s="20"/>
      <c r="AX87" s="20"/>
      <c r="AY87" s="104"/>
      <c r="AZ87" s="107"/>
      <c r="BA87" s="20"/>
      <c r="BB87" s="20"/>
      <c r="BC87" s="20"/>
      <c r="BD87" s="20"/>
      <c r="BE87" s="20"/>
      <c r="BF87" s="20"/>
      <c r="BG87" s="20"/>
      <c r="BH87" s="10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</row>
    <row r="88" ht="30.0" customHeight="1">
      <c r="A88" s="66"/>
      <c r="B88" s="113"/>
      <c r="C88" s="20"/>
      <c r="D88" s="20"/>
      <c r="E88" s="20"/>
      <c r="F88" s="107"/>
      <c r="G88" s="20"/>
      <c r="H88" s="20"/>
      <c r="I88" s="104"/>
      <c r="J88" s="107"/>
      <c r="K88" s="20"/>
      <c r="L88" s="20"/>
      <c r="M88" s="20"/>
      <c r="N88" s="20"/>
      <c r="O88" s="104"/>
      <c r="P88" s="107"/>
      <c r="Q88" s="20"/>
      <c r="R88" s="20"/>
      <c r="S88" s="20"/>
      <c r="T88" s="20"/>
      <c r="U88" s="104"/>
      <c r="V88" s="107"/>
      <c r="W88" s="20"/>
      <c r="X88" s="20"/>
      <c r="Y88" s="20"/>
      <c r="Z88" s="20"/>
      <c r="AA88" s="104"/>
      <c r="AB88" s="106"/>
      <c r="AC88" s="20"/>
      <c r="AD88" s="20"/>
      <c r="AE88" s="20"/>
      <c r="AF88" s="20"/>
      <c r="AG88" s="104"/>
      <c r="AH88" s="106"/>
      <c r="AI88" s="20"/>
      <c r="AJ88" s="20"/>
      <c r="AK88" s="20"/>
      <c r="AL88" s="20"/>
      <c r="AM88" s="104"/>
      <c r="AN88" s="106"/>
      <c r="AO88" s="20"/>
      <c r="AP88" s="20"/>
      <c r="AQ88" s="20"/>
      <c r="AR88" s="20"/>
      <c r="AS88" s="104"/>
      <c r="AT88" s="107"/>
      <c r="AU88" s="20"/>
      <c r="AV88" s="20"/>
      <c r="AW88" s="20"/>
      <c r="AX88" s="20"/>
      <c r="AY88" s="104"/>
      <c r="AZ88" s="107"/>
      <c r="BA88" s="20"/>
      <c r="BB88" s="20"/>
      <c r="BC88" s="20"/>
      <c r="BD88" s="20"/>
      <c r="BE88" s="20"/>
      <c r="BF88" s="20"/>
      <c r="BG88" s="20"/>
      <c r="BH88" s="10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</row>
    <row r="89" ht="30.0" customHeight="1">
      <c r="A89" s="66"/>
      <c r="B89" s="113"/>
      <c r="C89" s="20"/>
      <c r="D89" s="20"/>
      <c r="E89" s="20"/>
      <c r="F89" s="107"/>
      <c r="G89" s="20"/>
      <c r="H89" s="20"/>
      <c r="I89" s="104"/>
      <c r="J89" s="110"/>
      <c r="K89" s="20"/>
      <c r="L89" s="20"/>
      <c r="M89" s="20"/>
      <c r="N89" s="20"/>
      <c r="O89" s="104"/>
      <c r="P89" s="110"/>
      <c r="Q89" s="20"/>
      <c r="R89" s="20"/>
      <c r="S89" s="20"/>
      <c r="T89" s="20"/>
      <c r="U89" s="104"/>
      <c r="V89" s="107"/>
      <c r="W89" s="20"/>
      <c r="X89" s="20"/>
      <c r="Y89" s="20"/>
      <c r="Z89" s="20"/>
      <c r="AA89" s="104"/>
      <c r="AB89" s="106"/>
      <c r="AC89" s="20"/>
      <c r="AD89" s="20"/>
      <c r="AE89" s="20"/>
      <c r="AF89" s="20"/>
      <c r="AG89" s="104"/>
      <c r="AH89" s="106"/>
      <c r="AI89" s="20"/>
      <c r="AJ89" s="20"/>
      <c r="AK89" s="20"/>
      <c r="AL89" s="20"/>
      <c r="AM89" s="104"/>
      <c r="AN89" s="106"/>
      <c r="AO89" s="20"/>
      <c r="AP89" s="20"/>
      <c r="AQ89" s="20"/>
      <c r="AR89" s="20"/>
      <c r="AS89" s="104"/>
      <c r="AT89" s="107"/>
      <c r="AU89" s="20"/>
      <c r="AV89" s="20"/>
      <c r="AW89" s="20"/>
      <c r="AX89" s="20"/>
      <c r="AY89" s="104"/>
      <c r="AZ89" s="107"/>
      <c r="BA89" s="20"/>
      <c r="BB89" s="20"/>
      <c r="BC89" s="20"/>
      <c r="BD89" s="20"/>
      <c r="BE89" s="20"/>
      <c r="BF89" s="20"/>
      <c r="BG89" s="20"/>
      <c r="BH89" s="10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</row>
    <row r="90" ht="30.0" customHeight="1">
      <c r="A90" s="66"/>
      <c r="B90" s="134" t="s">
        <v>90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6"/>
      <c r="AB90" s="117"/>
      <c r="AC90" s="115"/>
      <c r="AD90" s="115"/>
      <c r="AE90" s="115"/>
      <c r="AF90" s="115"/>
      <c r="AG90" s="116"/>
      <c r="AH90" s="117"/>
      <c r="AI90" s="115"/>
      <c r="AJ90" s="115"/>
      <c r="AK90" s="115"/>
      <c r="AL90" s="115"/>
      <c r="AM90" s="116"/>
      <c r="AN90" s="117"/>
      <c r="AO90" s="115"/>
      <c r="AP90" s="115"/>
      <c r="AQ90" s="115"/>
      <c r="AR90" s="115"/>
      <c r="AS90" s="116"/>
      <c r="AT90" s="118"/>
      <c r="AU90" s="115"/>
      <c r="AV90" s="115"/>
      <c r="AW90" s="115"/>
      <c r="AX90" s="115"/>
      <c r="AY90" s="116"/>
      <c r="AZ90" s="119"/>
      <c r="BA90" s="115"/>
      <c r="BB90" s="115"/>
      <c r="BC90" s="115"/>
      <c r="BD90" s="115"/>
      <c r="BE90" s="115"/>
      <c r="BF90" s="115"/>
      <c r="BG90" s="115"/>
      <c r="BH90" s="120"/>
      <c r="BI90" s="131"/>
      <c r="BJ90" s="131"/>
      <c r="BK90" s="131"/>
      <c r="BL90" s="131"/>
      <c r="BM90" s="131"/>
      <c r="BN90" s="131"/>
      <c r="BO90" s="131"/>
      <c r="BP90" s="131"/>
      <c r="BQ90" s="131"/>
      <c r="BR90" s="131"/>
      <c r="BS90" s="131"/>
      <c r="BT90" s="131"/>
      <c r="BU90" s="131"/>
      <c r="BV90" s="131"/>
      <c r="BW90" s="131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5" t="s">
        <v>96</v>
      </c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135">
        <v>3.0</v>
      </c>
      <c r="AX92" s="20"/>
      <c r="AY92" s="104"/>
      <c r="AZ92" s="133" t="s">
        <v>91</v>
      </c>
      <c r="BA92" s="20"/>
      <c r="BB92" s="104"/>
      <c r="BC92" s="135">
        <v>3.0</v>
      </c>
      <c r="BD92" s="20"/>
      <c r="BE92" s="104"/>
      <c r="BF92" s="133" t="s">
        <v>92</v>
      </c>
      <c r="BG92" s="20"/>
      <c r="BH92" s="104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6"/>
      <c r="BL455" s="66"/>
      <c r="BM455" s="66"/>
      <c r="BN455" s="66"/>
      <c r="BO455" s="66"/>
      <c r="BP455" s="66"/>
      <c r="BQ455" s="66"/>
      <c r="BR455" s="66"/>
      <c r="BS455" s="66"/>
      <c r="BT455" s="66"/>
      <c r="BU455" s="66"/>
      <c r="BV455" s="66"/>
      <c r="BW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/>
      <c r="BJ461" s="66"/>
      <c r="BK461" s="66"/>
      <c r="BL461" s="66"/>
      <c r="BM461" s="66"/>
      <c r="BN461" s="66"/>
      <c r="BO461" s="66"/>
      <c r="BP461" s="66"/>
      <c r="BQ461" s="66"/>
      <c r="BR461" s="66"/>
      <c r="BS461" s="66"/>
      <c r="BT461" s="66"/>
      <c r="BU461" s="66"/>
      <c r="BV461" s="66"/>
      <c r="BW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6"/>
      <c r="BL462" s="66"/>
      <c r="BM462" s="66"/>
      <c r="BN462" s="66"/>
      <c r="BO462" s="66"/>
      <c r="BP462" s="66"/>
      <c r="BQ462" s="66"/>
      <c r="BR462" s="66"/>
      <c r="BS462" s="66"/>
      <c r="BT462" s="66"/>
      <c r="BU462" s="66"/>
      <c r="BV462" s="66"/>
      <c r="BW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/>
      <c r="BJ463" s="66"/>
      <c r="BK463" s="66"/>
      <c r="BL463" s="66"/>
      <c r="BM463" s="66"/>
      <c r="BN463" s="66"/>
      <c r="BO463" s="66"/>
      <c r="BP463" s="66"/>
      <c r="BQ463" s="66"/>
      <c r="BR463" s="66"/>
      <c r="BS463" s="66"/>
      <c r="BT463" s="66"/>
      <c r="BU463" s="66"/>
      <c r="BV463" s="66"/>
      <c r="BW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66"/>
      <c r="BP464" s="66"/>
      <c r="BQ464" s="66"/>
      <c r="BR464" s="66"/>
      <c r="BS464" s="66"/>
      <c r="BT464" s="66"/>
      <c r="BU464" s="66"/>
      <c r="BV464" s="66"/>
      <c r="BW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/>
      <c r="BJ465" s="66"/>
      <c r="BK465" s="66"/>
      <c r="BL465" s="66"/>
      <c r="BM465" s="66"/>
      <c r="BN465" s="66"/>
      <c r="BO465" s="66"/>
      <c r="BP465" s="66"/>
      <c r="BQ465" s="66"/>
      <c r="BR465" s="66"/>
      <c r="BS465" s="66"/>
      <c r="BT465" s="66"/>
      <c r="BU465" s="66"/>
      <c r="BV465" s="66"/>
      <c r="BW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66"/>
      <c r="BP466" s="66"/>
      <c r="BQ466" s="66"/>
      <c r="BR466" s="66"/>
      <c r="BS466" s="66"/>
      <c r="BT466" s="66"/>
      <c r="BU466" s="66"/>
      <c r="BV466" s="66"/>
      <c r="BW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/>
      <c r="BJ467" s="66"/>
      <c r="BK467" s="66"/>
      <c r="BL467" s="66"/>
      <c r="BM467" s="66"/>
      <c r="BN467" s="66"/>
      <c r="BO467" s="66"/>
      <c r="BP467" s="66"/>
      <c r="BQ467" s="66"/>
      <c r="BR467" s="66"/>
      <c r="BS467" s="66"/>
      <c r="BT467" s="66"/>
      <c r="BU467" s="66"/>
      <c r="BV467" s="66"/>
      <c r="BW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66"/>
      <c r="BP468" s="66"/>
      <c r="BQ468" s="66"/>
      <c r="BR468" s="66"/>
      <c r="BS468" s="66"/>
      <c r="BT468" s="66"/>
      <c r="BU468" s="66"/>
      <c r="BV468" s="66"/>
      <c r="BW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66"/>
      <c r="BM469" s="66"/>
      <c r="BN469" s="66"/>
      <c r="BO469" s="66"/>
      <c r="BP469" s="66"/>
      <c r="BQ469" s="66"/>
      <c r="BR469" s="66"/>
      <c r="BS469" s="66"/>
      <c r="BT469" s="66"/>
      <c r="BU469" s="66"/>
      <c r="BV469" s="66"/>
      <c r="BW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66"/>
      <c r="BM470" s="66"/>
      <c r="BN470" s="66"/>
      <c r="BO470" s="66"/>
      <c r="BP470" s="66"/>
      <c r="BQ470" s="66"/>
      <c r="BR470" s="66"/>
      <c r="BS470" s="66"/>
      <c r="BT470" s="66"/>
      <c r="BU470" s="66"/>
      <c r="BV470" s="66"/>
      <c r="BW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/>
      <c r="BJ471" s="66"/>
      <c r="BK471" s="66"/>
      <c r="BL471" s="66"/>
      <c r="BM471" s="66"/>
      <c r="BN471" s="66"/>
      <c r="BO471" s="66"/>
      <c r="BP471" s="66"/>
      <c r="BQ471" s="66"/>
      <c r="BR471" s="66"/>
      <c r="BS471" s="66"/>
      <c r="BT471" s="66"/>
      <c r="BU471" s="66"/>
      <c r="BV471" s="66"/>
      <c r="BW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/>
      <c r="BJ472" s="66"/>
      <c r="BK472" s="66"/>
      <c r="BL472" s="66"/>
      <c r="BM472" s="66"/>
      <c r="BN472" s="66"/>
      <c r="BO472" s="66"/>
      <c r="BP472" s="66"/>
      <c r="BQ472" s="66"/>
      <c r="BR472" s="66"/>
      <c r="BS472" s="66"/>
      <c r="BT472" s="66"/>
      <c r="BU472" s="66"/>
      <c r="BV472" s="66"/>
      <c r="BW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/>
      <c r="BJ473" s="66"/>
      <c r="BK473" s="66"/>
      <c r="BL473" s="66"/>
      <c r="BM473" s="66"/>
      <c r="BN473" s="66"/>
      <c r="BO473" s="66"/>
      <c r="BP473" s="66"/>
      <c r="BQ473" s="66"/>
      <c r="BR473" s="66"/>
      <c r="BS473" s="66"/>
      <c r="BT473" s="66"/>
      <c r="BU473" s="66"/>
      <c r="BV473" s="66"/>
      <c r="BW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/>
      <c r="BJ474" s="66"/>
      <c r="BK474" s="66"/>
      <c r="BL474" s="66"/>
      <c r="BM474" s="66"/>
      <c r="BN474" s="66"/>
      <c r="BO474" s="66"/>
      <c r="BP474" s="66"/>
      <c r="BQ474" s="66"/>
      <c r="BR474" s="66"/>
      <c r="BS474" s="66"/>
      <c r="BT474" s="66"/>
      <c r="BU474" s="66"/>
      <c r="BV474" s="66"/>
      <c r="BW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/>
      <c r="BJ479" s="66"/>
      <c r="BK479" s="66"/>
      <c r="BL479" s="66"/>
      <c r="BM479" s="66"/>
      <c r="BN479" s="66"/>
      <c r="BO479" s="66"/>
      <c r="BP479" s="66"/>
      <c r="BQ479" s="66"/>
      <c r="BR479" s="66"/>
      <c r="BS479" s="66"/>
      <c r="BT479" s="66"/>
      <c r="BU479" s="66"/>
      <c r="BV479" s="66"/>
      <c r="BW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66"/>
      <c r="BM484" s="66"/>
      <c r="BN484" s="66"/>
      <c r="BO484" s="66"/>
      <c r="BP484" s="66"/>
      <c r="BQ484" s="66"/>
      <c r="BR484" s="66"/>
      <c r="BS484" s="66"/>
      <c r="BT484" s="66"/>
      <c r="BU484" s="66"/>
      <c r="BV484" s="66"/>
      <c r="BW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/>
      <c r="BJ485" s="66"/>
      <c r="BK485" s="66"/>
      <c r="BL485" s="66"/>
      <c r="BM485" s="66"/>
      <c r="BN485" s="66"/>
      <c r="BO485" s="66"/>
      <c r="BP485" s="66"/>
      <c r="BQ485" s="66"/>
      <c r="BR485" s="66"/>
      <c r="BS485" s="66"/>
      <c r="BT485" s="66"/>
      <c r="BU485" s="66"/>
      <c r="BV485" s="66"/>
      <c r="BW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/>
      <c r="BJ486" s="66"/>
      <c r="BK486" s="66"/>
      <c r="BL486" s="66"/>
      <c r="BM486" s="66"/>
      <c r="BN486" s="66"/>
      <c r="BO486" s="66"/>
      <c r="BP486" s="66"/>
      <c r="BQ486" s="66"/>
      <c r="BR486" s="66"/>
      <c r="BS486" s="66"/>
      <c r="BT486" s="66"/>
      <c r="BU486" s="66"/>
      <c r="BV486" s="66"/>
      <c r="BW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/>
      <c r="BJ487" s="66"/>
      <c r="BK487" s="66"/>
      <c r="BL487" s="66"/>
      <c r="BM487" s="66"/>
      <c r="BN487" s="66"/>
      <c r="BO487" s="66"/>
      <c r="BP487" s="66"/>
      <c r="BQ487" s="66"/>
      <c r="BR487" s="66"/>
      <c r="BS487" s="66"/>
      <c r="BT487" s="66"/>
      <c r="BU487" s="66"/>
      <c r="BV487" s="66"/>
      <c r="BW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  <c r="BT488" s="66"/>
      <c r="BU488" s="66"/>
      <c r="BV488" s="66"/>
      <c r="BW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/>
      <c r="BJ489" s="66"/>
      <c r="BK489" s="66"/>
      <c r="BL489" s="66"/>
      <c r="BM489" s="66"/>
      <c r="BN489" s="66"/>
      <c r="BO489" s="66"/>
      <c r="BP489" s="66"/>
      <c r="BQ489" s="66"/>
      <c r="BR489" s="66"/>
      <c r="BS489" s="66"/>
      <c r="BT489" s="66"/>
      <c r="BU489" s="66"/>
      <c r="BV489" s="66"/>
      <c r="BW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/>
      <c r="BJ490" s="66"/>
      <c r="BK490" s="66"/>
      <c r="BL490" s="66"/>
      <c r="BM490" s="66"/>
      <c r="BN490" s="66"/>
      <c r="BO490" s="66"/>
      <c r="BP490" s="66"/>
      <c r="BQ490" s="66"/>
      <c r="BR490" s="66"/>
      <c r="BS490" s="66"/>
      <c r="BT490" s="66"/>
      <c r="BU490" s="66"/>
      <c r="BV490" s="66"/>
      <c r="BW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/>
      <c r="BJ492" s="66"/>
      <c r="BK492" s="66"/>
      <c r="BL492" s="66"/>
      <c r="BM492" s="66"/>
      <c r="BN492" s="66"/>
      <c r="BO492" s="66"/>
      <c r="BP492" s="66"/>
      <c r="BQ492" s="66"/>
      <c r="BR492" s="66"/>
      <c r="BS492" s="66"/>
      <c r="BT492" s="66"/>
      <c r="BU492" s="66"/>
      <c r="BV492" s="66"/>
      <c r="BW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/>
      <c r="BJ494" s="66"/>
      <c r="BK494" s="66"/>
      <c r="BL494" s="66"/>
      <c r="BM494" s="66"/>
      <c r="BN494" s="66"/>
      <c r="BO494" s="66"/>
      <c r="BP494" s="66"/>
      <c r="BQ494" s="66"/>
      <c r="BR494" s="66"/>
      <c r="BS494" s="66"/>
      <c r="BT494" s="66"/>
      <c r="BU494" s="66"/>
      <c r="BV494" s="66"/>
      <c r="BW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/>
      <c r="BJ495" s="66"/>
      <c r="BK495" s="66"/>
      <c r="BL495" s="66"/>
      <c r="BM495" s="66"/>
      <c r="BN495" s="66"/>
      <c r="BO495" s="66"/>
      <c r="BP495" s="66"/>
      <c r="BQ495" s="66"/>
      <c r="BR495" s="66"/>
      <c r="BS495" s="66"/>
      <c r="BT495" s="66"/>
      <c r="BU495" s="66"/>
      <c r="BV495" s="66"/>
      <c r="BW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/>
      <c r="BJ496" s="66"/>
      <c r="BK496" s="66"/>
      <c r="BL496" s="66"/>
      <c r="BM496" s="66"/>
      <c r="BN496" s="66"/>
      <c r="BO496" s="66"/>
      <c r="BP496" s="66"/>
      <c r="BQ496" s="66"/>
      <c r="BR496" s="66"/>
      <c r="BS496" s="66"/>
      <c r="BT496" s="66"/>
      <c r="BU496" s="66"/>
      <c r="BV496" s="66"/>
      <c r="BW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/>
      <c r="BJ498" s="66"/>
      <c r="BK498" s="66"/>
      <c r="BL498" s="66"/>
      <c r="BM498" s="66"/>
      <c r="BN498" s="66"/>
      <c r="BO498" s="66"/>
      <c r="BP498" s="66"/>
      <c r="BQ498" s="66"/>
      <c r="BR498" s="66"/>
      <c r="BS498" s="66"/>
      <c r="BT498" s="66"/>
      <c r="BU498" s="66"/>
      <c r="BV498" s="66"/>
      <c r="BW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/>
      <c r="BJ499" s="66"/>
      <c r="BK499" s="66"/>
      <c r="BL499" s="66"/>
      <c r="BM499" s="66"/>
      <c r="BN499" s="66"/>
      <c r="BO499" s="66"/>
      <c r="BP499" s="66"/>
      <c r="BQ499" s="66"/>
      <c r="BR499" s="66"/>
      <c r="BS499" s="66"/>
      <c r="BT499" s="66"/>
      <c r="BU499" s="66"/>
      <c r="BV499" s="66"/>
      <c r="BW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/>
      <c r="BJ500" s="66"/>
      <c r="BK500" s="66"/>
      <c r="BL500" s="66"/>
      <c r="BM500" s="66"/>
      <c r="BN500" s="66"/>
      <c r="BO500" s="66"/>
      <c r="BP500" s="66"/>
      <c r="BQ500" s="66"/>
      <c r="BR500" s="66"/>
      <c r="BS500" s="66"/>
      <c r="BT500" s="66"/>
      <c r="BU500" s="66"/>
      <c r="BV500" s="66"/>
      <c r="BW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/>
      <c r="BJ501" s="66"/>
      <c r="BK501" s="66"/>
      <c r="BL501" s="66"/>
      <c r="BM501" s="66"/>
      <c r="BN501" s="66"/>
      <c r="BO501" s="66"/>
      <c r="BP501" s="66"/>
      <c r="BQ501" s="66"/>
      <c r="BR501" s="66"/>
      <c r="BS501" s="66"/>
      <c r="BT501" s="66"/>
      <c r="BU501" s="66"/>
      <c r="BV501" s="66"/>
      <c r="BW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/>
      <c r="BJ502" s="66"/>
      <c r="BK502" s="66"/>
      <c r="BL502" s="66"/>
      <c r="BM502" s="66"/>
      <c r="BN502" s="66"/>
      <c r="BO502" s="66"/>
      <c r="BP502" s="66"/>
      <c r="BQ502" s="66"/>
      <c r="BR502" s="66"/>
      <c r="BS502" s="66"/>
      <c r="BT502" s="66"/>
      <c r="BU502" s="66"/>
      <c r="BV502" s="66"/>
      <c r="BW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  <c r="BF503" s="66"/>
      <c r="BG503" s="66"/>
      <c r="BH503" s="66"/>
      <c r="BI503" s="66"/>
      <c r="BJ503" s="66"/>
      <c r="BK503" s="66"/>
      <c r="BL503" s="66"/>
      <c r="BM503" s="66"/>
      <c r="BN503" s="66"/>
      <c r="BO503" s="66"/>
      <c r="BP503" s="66"/>
      <c r="BQ503" s="66"/>
      <c r="BR503" s="66"/>
      <c r="BS503" s="66"/>
      <c r="BT503" s="66"/>
      <c r="BU503" s="66"/>
      <c r="BV503" s="66"/>
      <c r="BW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66"/>
      <c r="BJ504" s="66"/>
      <c r="BK504" s="66"/>
      <c r="BL504" s="66"/>
      <c r="BM504" s="66"/>
      <c r="BN504" s="66"/>
      <c r="BO504" s="66"/>
      <c r="BP504" s="66"/>
      <c r="BQ504" s="66"/>
      <c r="BR504" s="66"/>
      <c r="BS504" s="66"/>
      <c r="BT504" s="66"/>
      <c r="BU504" s="66"/>
      <c r="BV504" s="66"/>
      <c r="BW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6"/>
      <c r="BF505" s="66"/>
      <c r="BG505" s="66"/>
      <c r="BH505" s="66"/>
      <c r="BI505" s="66"/>
      <c r="BJ505" s="66"/>
      <c r="BK505" s="66"/>
      <c r="BL505" s="66"/>
      <c r="BM505" s="66"/>
      <c r="BN505" s="66"/>
      <c r="BO505" s="66"/>
      <c r="BP505" s="66"/>
      <c r="BQ505" s="66"/>
      <c r="BR505" s="66"/>
      <c r="BS505" s="66"/>
      <c r="BT505" s="66"/>
      <c r="BU505" s="66"/>
      <c r="BV505" s="66"/>
      <c r="BW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  <c r="BF506" s="66"/>
      <c r="BG506" s="66"/>
      <c r="BH506" s="66"/>
      <c r="BI506" s="66"/>
      <c r="BJ506" s="66"/>
      <c r="BK506" s="66"/>
      <c r="BL506" s="66"/>
      <c r="BM506" s="66"/>
      <c r="BN506" s="66"/>
      <c r="BO506" s="66"/>
      <c r="BP506" s="66"/>
      <c r="BQ506" s="66"/>
      <c r="BR506" s="66"/>
      <c r="BS506" s="66"/>
      <c r="BT506" s="66"/>
      <c r="BU506" s="66"/>
      <c r="BV506" s="66"/>
      <c r="BW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  <c r="BF507" s="66"/>
      <c r="BG507" s="66"/>
      <c r="BH507" s="66"/>
      <c r="BI507" s="66"/>
      <c r="BJ507" s="66"/>
      <c r="BK507" s="66"/>
      <c r="BL507" s="66"/>
      <c r="BM507" s="66"/>
      <c r="BN507" s="66"/>
      <c r="BO507" s="66"/>
      <c r="BP507" s="66"/>
      <c r="BQ507" s="66"/>
      <c r="BR507" s="66"/>
      <c r="BS507" s="66"/>
      <c r="BT507" s="66"/>
      <c r="BU507" s="66"/>
      <c r="BV507" s="66"/>
      <c r="BW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/>
      <c r="BJ508" s="66"/>
      <c r="BK508" s="66"/>
      <c r="BL508" s="66"/>
      <c r="BM508" s="66"/>
      <c r="BN508" s="66"/>
      <c r="BO508" s="66"/>
      <c r="BP508" s="66"/>
      <c r="BQ508" s="66"/>
      <c r="BR508" s="66"/>
      <c r="BS508" s="66"/>
      <c r="BT508" s="66"/>
      <c r="BU508" s="66"/>
      <c r="BV508" s="66"/>
      <c r="BW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/>
      <c r="BJ509" s="66"/>
      <c r="BK509" s="66"/>
      <c r="BL509" s="66"/>
      <c r="BM509" s="66"/>
      <c r="BN509" s="66"/>
      <c r="BO509" s="66"/>
      <c r="BP509" s="66"/>
      <c r="BQ509" s="66"/>
      <c r="BR509" s="66"/>
      <c r="BS509" s="66"/>
      <c r="BT509" s="66"/>
      <c r="BU509" s="66"/>
      <c r="BV509" s="66"/>
      <c r="BW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66"/>
      <c r="BJ510" s="66"/>
      <c r="BK510" s="66"/>
      <c r="BL510" s="66"/>
      <c r="BM510" s="66"/>
      <c r="BN510" s="66"/>
      <c r="BO510" s="66"/>
      <c r="BP510" s="66"/>
      <c r="BQ510" s="66"/>
      <c r="BR510" s="66"/>
      <c r="BS510" s="66"/>
      <c r="BT510" s="66"/>
      <c r="BU510" s="66"/>
      <c r="BV510" s="66"/>
      <c r="BW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66"/>
      <c r="BJ511" s="66"/>
      <c r="BK511" s="66"/>
      <c r="BL511" s="66"/>
      <c r="BM511" s="66"/>
      <c r="BN511" s="66"/>
      <c r="BO511" s="66"/>
      <c r="BP511" s="66"/>
      <c r="BQ511" s="66"/>
      <c r="BR511" s="66"/>
      <c r="BS511" s="66"/>
      <c r="BT511" s="66"/>
      <c r="BU511" s="66"/>
      <c r="BV511" s="66"/>
      <c r="BW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66"/>
      <c r="BJ512" s="66"/>
      <c r="BK512" s="66"/>
      <c r="BL512" s="66"/>
      <c r="BM512" s="66"/>
      <c r="BN512" s="66"/>
      <c r="BO512" s="66"/>
      <c r="BP512" s="66"/>
      <c r="BQ512" s="66"/>
      <c r="BR512" s="66"/>
      <c r="BS512" s="66"/>
      <c r="BT512" s="66"/>
      <c r="BU512" s="66"/>
      <c r="BV512" s="66"/>
      <c r="BW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66"/>
      <c r="BJ513" s="66"/>
      <c r="BK513" s="66"/>
      <c r="BL513" s="66"/>
      <c r="BM513" s="66"/>
      <c r="BN513" s="66"/>
      <c r="BO513" s="66"/>
      <c r="BP513" s="66"/>
      <c r="BQ513" s="66"/>
      <c r="BR513" s="66"/>
      <c r="BS513" s="66"/>
      <c r="BT513" s="66"/>
      <c r="BU513" s="66"/>
      <c r="BV513" s="66"/>
      <c r="BW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6"/>
      <c r="BF514" s="66"/>
      <c r="BG514" s="66"/>
      <c r="BH514" s="66"/>
      <c r="BI514" s="66"/>
      <c r="BJ514" s="66"/>
      <c r="BK514" s="66"/>
      <c r="BL514" s="66"/>
      <c r="BM514" s="66"/>
      <c r="BN514" s="66"/>
      <c r="BO514" s="66"/>
      <c r="BP514" s="66"/>
      <c r="BQ514" s="66"/>
      <c r="BR514" s="66"/>
      <c r="BS514" s="66"/>
      <c r="BT514" s="66"/>
      <c r="BU514" s="66"/>
      <c r="BV514" s="66"/>
      <c r="BW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  <c r="BF515" s="66"/>
      <c r="BG515" s="66"/>
      <c r="BH515" s="66"/>
      <c r="BI515" s="66"/>
      <c r="BJ515" s="66"/>
      <c r="BK515" s="66"/>
      <c r="BL515" s="66"/>
      <c r="BM515" s="66"/>
      <c r="BN515" s="66"/>
      <c r="BO515" s="66"/>
      <c r="BP515" s="66"/>
      <c r="BQ515" s="66"/>
      <c r="BR515" s="66"/>
      <c r="BS515" s="66"/>
      <c r="BT515" s="66"/>
      <c r="BU515" s="66"/>
      <c r="BV515" s="66"/>
      <c r="BW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66"/>
      <c r="BJ516" s="66"/>
      <c r="BK516" s="66"/>
      <c r="BL516" s="66"/>
      <c r="BM516" s="66"/>
      <c r="BN516" s="66"/>
      <c r="BO516" s="66"/>
      <c r="BP516" s="66"/>
      <c r="BQ516" s="66"/>
      <c r="BR516" s="66"/>
      <c r="BS516" s="66"/>
      <c r="BT516" s="66"/>
      <c r="BU516" s="66"/>
      <c r="BV516" s="66"/>
      <c r="BW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66"/>
      <c r="BJ517" s="66"/>
      <c r="BK517" s="66"/>
      <c r="BL517" s="66"/>
      <c r="BM517" s="66"/>
      <c r="BN517" s="66"/>
      <c r="BO517" s="66"/>
      <c r="BP517" s="66"/>
      <c r="BQ517" s="66"/>
      <c r="BR517" s="66"/>
      <c r="BS517" s="66"/>
      <c r="BT517" s="66"/>
      <c r="BU517" s="66"/>
      <c r="BV517" s="66"/>
      <c r="BW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  <c r="BT518" s="66"/>
      <c r="BU518" s="66"/>
      <c r="BV518" s="66"/>
      <c r="BW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/>
      <c r="BJ519" s="66"/>
      <c r="BK519" s="66"/>
      <c r="BL519" s="66"/>
      <c r="BM519" s="66"/>
      <c r="BN519" s="66"/>
      <c r="BO519" s="66"/>
      <c r="BP519" s="66"/>
      <c r="BQ519" s="66"/>
      <c r="BR519" s="66"/>
      <c r="BS519" s="66"/>
      <c r="BT519" s="66"/>
      <c r="BU519" s="66"/>
      <c r="BV519" s="66"/>
      <c r="BW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/>
      <c r="BJ520" s="66"/>
      <c r="BK520" s="66"/>
      <c r="BL520" s="66"/>
      <c r="BM520" s="66"/>
      <c r="BN520" s="66"/>
      <c r="BO520" s="66"/>
      <c r="BP520" s="66"/>
      <c r="BQ520" s="66"/>
      <c r="BR520" s="66"/>
      <c r="BS520" s="66"/>
      <c r="BT520" s="66"/>
      <c r="BU520" s="66"/>
      <c r="BV520" s="66"/>
      <c r="BW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/>
      <c r="BJ521" s="66"/>
      <c r="BK521" s="66"/>
      <c r="BL521" s="66"/>
      <c r="BM521" s="66"/>
      <c r="BN521" s="66"/>
      <c r="BO521" s="66"/>
      <c r="BP521" s="66"/>
      <c r="BQ521" s="66"/>
      <c r="BR521" s="66"/>
      <c r="BS521" s="66"/>
      <c r="BT521" s="66"/>
      <c r="BU521" s="66"/>
      <c r="BV521" s="66"/>
      <c r="BW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66"/>
      <c r="BJ522" s="66"/>
      <c r="BK522" s="66"/>
      <c r="BL522" s="66"/>
      <c r="BM522" s="66"/>
      <c r="BN522" s="66"/>
      <c r="BO522" s="66"/>
      <c r="BP522" s="66"/>
      <c r="BQ522" s="66"/>
      <c r="BR522" s="66"/>
      <c r="BS522" s="66"/>
      <c r="BT522" s="66"/>
      <c r="BU522" s="66"/>
      <c r="BV522" s="66"/>
      <c r="BW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66"/>
      <c r="BJ523" s="66"/>
      <c r="BK523" s="66"/>
      <c r="BL523" s="66"/>
      <c r="BM523" s="66"/>
      <c r="BN523" s="66"/>
      <c r="BO523" s="66"/>
      <c r="BP523" s="66"/>
      <c r="BQ523" s="66"/>
      <c r="BR523" s="66"/>
      <c r="BS523" s="66"/>
      <c r="BT523" s="66"/>
      <c r="BU523" s="66"/>
      <c r="BV523" s="66"/>
      <c r="BW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/>
      <c r="BJ524" s="66"/>
      <c r="BK524" s="66"/>
      <c r="BL524" s="66"/>
      <c r="BM524" s="66"/>
      <c r="BN524" s="66"/>
      <c r="BO524" s="66"/>
      <c r="BP524" s="66"/>
      <c r="BQ524" s="66"/>
      <c r="BR524" s="66"/>
      <c r="BS524" s="66"/>
      <c r="BT524" s="66"/>
      <c r="BU524" s="66"/>
      <c r="BV524" s="66"/>
      <c r="BW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66"/>
      <c r="BJ525" s="66"/>
      <c r="BK525" s="66"/>
      <c r="BL525" s="66"/>
      <c r="BM525" s="66"/>
      <c r="BN525" s="66"/>
      <c r="BO525" s="66"/>
      <c r="BP525" s="66"/>
      <c r="BQ525" s="66"/>
      <c r="BR525" s="66"/>
      <c r="BS525" s="66"/>
      <c r="BT525" s="66"/>
      <c r="BU525" s="66"/>
      <c r="BV525" s="66"/>
      <c r="BW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66"/>
      <c r="BJ526" s="66"/>
      <c r="BK526" s="66"/>
      <c r="BL526" s="66"/>
      <c r="BM526" s="66"/>
      <c r="BN526" s="66"/>
      <c r="BO526" s="66"/>
      <c r="BP526" s="66"/>
      <c r="BQ526" s="66"/>
      <c r="BR526" s="66"/>
      <c r="BS526" s="66"/>
      <c r="BT526" s="66"/>
      <c r="BU526" s="66"/>
      <c r="BV526" s="66"/>
      <c r="BW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/>
      <c r="BJ527" s="66"/>
      <c r="BK527" s="66"/>
      <c r="BL527" s="66"/>
      <c r="BM527" s="66"/>
      <c r="BN527" s="66"/>
      <c r="BO527" s="66"/>
      <c r="BP527" s="66"/>
      <c r="BQ527" s="66"/>
      <c r="BR527" s="66"/>
      <c r="BS527" s="66"/>
      <c r="BT527" s="66"/>
      <c r="BU527" s="66"/>
      <c r="BV527" s="66"/>
      <c r="BW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  <c r="BT528" s="66"/>
      <c r="BU528" s="66"/>
      <c r="BV528" s="66"/>
      <c r="BW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66"/>
      <c r="BJ529" s="66"/>
      <c r="BK529" s="66"/>
      <c r="BL529" s="66"/>
      <c r="BM529" s="66"/>
      <c r="BN529" s="66"/>
      <c r="BO529" s="66"/>
      <c r="BP529" s="66"/>
      <c r="BQ529" s="66"/>
      <c r="BR529" s="66"/>
      <c r="BS529" s="66"/>
      <c r="BT529" s="66"/>
      <c r="BU529" s="66"/>
      <c r="BV529" s="66"/>
      <c r="BW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66"/>
      <c r="BJ530" s="66"/>
      <c r="BK530" s="66"/>
      <c r="BL530" s="66"/>
      <c r="BM530" s="66"/>
      <c r="BN530" s="66"/>
      <c r="BO530" s="66"/>
      <c r="BP530" s="66"/>
      <c r="BQ530" s="66"/>
      <c r="BR530" s="66"/>
      <c r="BS530" s="66"/>
      <c r="BT530" s="66"/>
      <c r="BU530" s="66"/>
      <c r="BV530" s="66"/>
      <c r="BW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/>
      <c r="BJ531" s="66"/>
      <c r="BK531" s="66"/>
      <c r="BL531" s="66"/>
      <c r="BM531" s="66"/>
      <c r="BN531" s="66"/>
      <c r="BO531" s="66"/>
      <c r="BP531" s="66"/>
      <c r="BQ531" s="66"/>
      <c r="BR531" s="66"/>
      <c r="BS531" s="66"/>
      <c r="BT531" s="66"/>
      <c r="BU531" s="66"/>
      <c r="BV531" s="66"/>
      <c r="BW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66"/>
      <c r="BJ532" s="66"/>
      <c r="BK532" s="66"/>
      <c r="BL532" s="66"/>
      <c r="BM532" s="66"/>
      <c r="BN532" s="66"/>
      <c r="BO532" s="66"/>
      <c r="BP532" s="66"/>
      <c r="BQ532" s="66"/>
      <c r="BR532" s="66"/>
      <c r="BS532" s="66"/>
      <c r="BT532" s="66"/>
      <c r="BU532" s="66"/>
      <c r="BV532" s="66"/>
      <c r="BW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66"/>
      <c r="BJ533" s="66"/>
      <c r="BK533" s="66"/>
      <c r="BL533" s="66"/>
      <c r="BM533" s="66"/>
      <c r="BN533" s="66"/>
      <c r="BO533" s="66"/>
      <c r="BP533" s="66"/>
      <c r="BQ533" s="66"/>
      <c r="BR533" s="66"/>
      <c r="BS533" s="66"/>
      <c r="BT533" s="66"/>
      <c r="BU533" s="66"/>
      <c r="BV533" s="66"/>
      <c r="BW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/>
      <c r="BJ534" s="66"/>
      <c r="BK534" s="66"/>
      <c r="BL534" s="66"/>
      <c r="BM534" s="66"/>
      <c r="BN534" s="66"/>
      <c r="BO534" s="66"/>
      <c r="BP534" s="66"/>
      <c r="BQ534" s="66"/>
      <c r="BR534" s="66"/>
      <c r="BS534" s="66"/>
      <c r="BT534" s="66"/>
      <c r="BU534" s="66"/>
      <c r="BV534" s="66"/>
      <c r="BW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/>
      <c r="BJ535" s="66"/>
      <c r="BK535" s="66"/>
      <c r="BL535" s="66"/>
      <c r="BM535" s="66"/>
      <c r="BN535" s="66"/>
      <c r="BO535" s="66"/>
      <c r="BP535" s="66"/>
      <c r="BQ535" s="66"/>
      <c r="BR535" s="66"/>
      <c r="BS535" s="66"/>
      <c r="BT535" s="66"/>
      <c r="BU535" s="66"/>
      <c r="BV535" s="66"/>
      <c r="BW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66"/>
      <c r="BJ536" s="66"/>
      <c r="BK536" s="66"/>
      <c r="BL536" s="66"/>
      <c r="BM536" s="66"/>
      <c r="BN536" s="66"/>
      <c r="BO536" s="66"/>
      <c r="BP536" s="66"/>
      <c r="BQ536" s="66"/>
      <c r="BR536" s="66"/>
      <c r="BS536" s="66"/>
      <c r="BT536" s="66"/>
      <c r="BU536" s="66"/>
      <c r="BV536" s="66"/>
      <c r="BW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66"/>
      <c r="BJ537" s="66"/>
      <c r="BK537" s="66"/>
      <c r="BL537" s="66"/>
      <c r="BM537" s="66"/>
      <c r="BN537" s="66"/>
      <c r="BO537" s="66"/>
      <c r="BP537" s="66"/>
      <c r="BQ537" s="66"/>
      <c r="BR537" s="66"/>
      <c r="BS537" s="66"/>
      <c r="BT537" s="66"/>
      <c r="BU537" s="66"/>
      <c r="BV537" s="66"/>
      <c r="BW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  <c r="BT538" s="66"/>
      <c r="BU538" s="66"/>
      <c r="BV538" s="66"/>
      <c r="BW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  <c r="BF539" s="66"/>
      <c r="BG539" s="66"/>
      <c r="BH539" s="66"/>
      <c r="BI539" s="66"/>
      <c r="BJ539" s="66"/>
      <c r="BK539" s="66"/>
      <c r="BL539" s="66"/>
      <c r="BM539" s="66"/>
      <c r="BN539" s="66"/>
      <c r="BO539" s="66"/>
      <c r="BP539" s="66"/>
      <c r="BQ539" s="66"/>
      <c r="BR539" s="66"/>
      <c r="BS539" s="66"/>
      <c r="BT539" s="66"/>
      <c r="BU539" s="66"/>
      <c r="BV539" s="66"/>
      <c r="BW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  <c r="BF540" s="66"/>
      <c r="BG540" s="66"/>
      <c r="BH540" s="66"/>
      <c r="BI540" s="66"/>
      <c r="BJ540" s="66"/>
      <c r="BK540" s="66"/>
      <c r="BL540" s="66"/>
      <c r="BM540" s="66"/>
      <c r="BN540" s="66"/>
      <c r="BO540" s="66"/>
      <c r="BP540" s="66"/>
      <c r="BQ540" s="66"/>
      <c r="BR540" s="66"/>
      <c r="BS540" s="66"/>
      <c r="BT540" s="66"/>
      <c r="BU540" s="66"/>
      <c r="BV540" s="66"/>
      <c r="BW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  <c r="BF541" s="66"/>
      <c r="BG541" s="66"/>
      <c r="BH541" s="66"/>
      <c r="BI541" s="66"/>
      <c r="BJ541" s="66"/>
      <c r="BK541" s="66"/>
      <c r="BL541" s="66"/>
      <c r="BM541" s="66"/>
      <c r="BN541" s="66"/>
      <c r="BO541" s="66"/>
      <c r="BP541" s="66"/>
      <c r="BQ541" s="66"/>
      <c r="BR541" s="66"/>
      <c r="BS541" s="66"/>
      <c r="BT541" s="66"/>
      <c r="BU541" s="66"/>
      <c r="BV541" s="66"/>
      <c r="BW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/>
      <c r="BJ542" s="66"/>
      <c r="BK542" s="66"/>
      <c r="BL542" s="66"/>
      <c r="BM542" s="66"/>
      <c r="BN542" s="66"/>
      <c r="BO542" s="66"/>
      <c r="BP542" s="66"/>
      <c r="BQ542" s="66"/>
      <c r="BR542" s="66"/>
      <c r="BS542" s="66"/>
      <c r="BT542" s="66"/>
      <c r="BU542" s="66"/>
      <c r="BV542" s="66"/>
      <c r="BW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  <c r="BF543" s="66"/>
      <c r="BG543" s="66"/>
      <c r="BH543" s="66"/>
      <c r="BI543" s="66"/>
      <c r="BJ543" s="66"/>
      <c r="BK543" s="66"/>
      <c r="BL543" s="66"/>
      <c r="BM543" s="66"/>
      <c r="BN543" s="66"/>
      <c r="BO543" s="66"/>
      <c r="BP543" s="66"/>
      <c r="BQ543" s="66"/>
      <c r="BR543" s="66"/>
      <c r="BS543" s="66"/>
      <c r="BT543" s="66"/>
      <c r="BU543" s="66"/>
      <c r="BV543" s="66"/>
      <c r="BW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66"/>
      <c r="BJ544" s="66"/>
      <c r="BK544" s="66"/>
      <c r="BL544" s="66"/>
      <c r="BM544" s="66"/>
      <c r="BN544" s="66"/>
      <c r="BO544" s="66"/>
      <c r="BP544" s="66"/>
      <c r="BQ544" s="66"/>
      <c r="BR544" s="66"/>
      <c r="BS544" s="66"/>
      <c r="BT544" s="66"/>
      <c r="BU544" s="66"/>
      <c r="BV544" s="66"/>
      <c r="BW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66"/>
      <c r="BJ545" s="66"/>
      <c r="BK545" s="66"/>
      <c r="BL545" s="66"/>
      <c r="BM545" s="66"/>
      <c r="BN545" s="66"/>
      <c r="BO545" s="66"/>
      <c r="BP545" s="66"/>
      <c r="BQ545" s="66"/>
      <c r="BR545" s="66"/>
      <c r="BS545" s="66"/>
      <c r="BT545" s="66"/>
      <c r="BU545" s="66"/>
      <c r="BV545" s="66"/>
      <c r="BW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66"/>
      <c r="BJ546" s="66"/>
      <c r="BK546" s="66"/>
      <c r="BL546" s="66"/>
      <c r="BM546" s="66"/>
      <c r="BN546" s="66"/>
      <c r="BO546" s="66"/>
      <c r="BP546" s="66"/>
      <c r="BQ546" s="66"/>
      <c r="BR546" s="66"/>
      <c r="BS546" s="66"/>
      <c r="BT546" s="66"/>
      <c r="BU546" s="66"/>
      <c r="BV546" s="66"/>
      <c r="BW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  <c r="BF547" s="66"/>
      <c r="BG547" s="66"/>
      <c r="BH547" s="66"/>
      <c r="BI547" s="66"/>
      <c r="BJ547" s="66"/>
      <c r="BK547" s="66"/>
      <c r="BL547" s="66"/>
      <c r="BM547" s="66"/>
      <c r="BN547" s="66"/>
      <c r="BO547" s="66"/>
      <c r="BP547" s="66"/>
      <c r="BQ547" s="66"/>
      <c r="BR547" s="66"/>
      <c r="BS547" s="66"/>
      <c r="BT547" s="66"/>
      <c r="BU547" s="66"/>
      <c r="BV547" s="66"/>
      <c r="BW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  <c r="BF548" s="66"/>
      <c r="BG548" s="66"/>
      <c r="BH548" s="66"/>
      <c r="BI548" s="66"/>
      <c r="BJ548" s="66"/>
      <c r="BK548" s="66"/>
      <c r="BL548" s="66"/>
      <c r="BM548" s="66"/>
      <c r="BN548" s="66"/>
      <c r="BO548" s="66"/>
      <c r="BP548" s="66"/>
      <c r="BQ548" s="66"/>
      <c r="BR548" s="66"/>
      <c r="BS548" s="66"/>
      <c r="BT548" s="66"/>
      <c r="BU548" s="66"/>
      <c r="BV548" s="66"/>
      <c r="BW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  <c r="BD549" s="66"/>
      <c r="BE549" s="66"/>
      <c r="BF549" s="66"/>
      <c r="BG549" s="66"/>
      <c r="BH549" s="66"/>
      <c r="BI549" s="66"/>
      <c r="BJ549" s="66"/>
      <c r="BK549" s="66"/>
      <c r="BL549" s="66"/>
      <c r="BM549" s="66"/>
      <c r="BN549" s="66"/>
      <c r="BO549" s="66"/>
      <c r="BP549" s="66"/>
      <c r="BQ549" s="66"/>
      <c r="BR549" s="66"/>
      <c r="BS549" s="66"/>
      <c r="BT549" s="66"/>
      <c r="BU549" s="66"/>
      <c r="BV549" s="66"/>
      <c r="BW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  <c r="BF550" s="66"/>
      <c r="BG550" s="66"/>
      <c r="BH550" s="66"/>
      <c r="BI550" s="66"/>
      <c r="BJ550" s="66"/>
      <c r="BK550" s="66"/>
      <c r="BL550" s="66"/>
      <c r="BM550" s="66"/>
      <c r="BN550" s="66"/>
      <c r="BO550" s="66"/>
      <c r="BP550" s="66"/>
      <c r="BQ550" s="66"/>
      <c r="BR550" s="66"/>
      <c r="BS550" s="66"/>
      <c r="BT550" s="66"/>
      <c r="BU550" s="66"/>
      <c r="BV550" s="66"/>
      <c r="BW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  <c r="BD551" s="66"/>
      <c r="BE551" s="66"/>
      <c r="BF551" s="66"/>
      <c r="BG551" s="66"/>
      <c r="BH551" s="66"/>
      <c r="BI551" s="66"/>
      <c r="BJ551" s="66"/>
      <c r="BK551" s="66"/>
      <c r="BL551" s="66"/>
      <c r="BM551" s="66"/>
      <c r="BN551" s="66"/>
      <c r="BO551" s="66"/>
      <c r="BP551" s="66"/>
      <c r="BQ551" s="66"/>
      <c r="BR551" s="66"/>
      <c r="BS551" s="66"/>
      <c r="BT551" s="66"/>
      <c r="BU551" s="66"/>
      <c r="BV551" s="66"/>
      <c r="BW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  <c r="BF552" s="66"/>
      <c r="BG552" s="66"/>
      <c r="BH552" s="66"/>
      <c r="BI552" s="66"/>
      <c r="BJ552" s="66"/>
      <c r="BK552" s="66"/>
      <c r="BL552" s="66"/>
      <c r="BM552" s="66"/>
      <c r="BN552" s="66"/>
      <c r="BO552" s="66"/>
      <c r="BP552" s="66"/>
      <c r="BQ552" s="66"/>
      <c r="BR552" s="66"/>
      <c r="BS552" s="66"/>
      <c r="BT552" s="66"/>
      <c r="BU552" s="66"/>
      <c r="BV552" s="66"/>
      <c r="BW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  <c r="BF553" s="66"/>
      <c r="BG553" s="66"/>
      <c r="BH553" s="66"/>
      <c r="BI553" s="66"/>
      <c r="BJ553" s="66"/>
      <c r="BK553" s="66"/>
      <c r="BL553" s="66"/>
      <c r="BM553" s="66"/>
      <c r="BN553" s="66"/>
      <c r="BO553" s="66"/>
      <c r="BP553" s="66"/>
      <c r="BQ553" s="66"/>
      <c r="BR553" s="66"/>
      <c r="BS553" s="66"/>
      <c r="BT553" s="66"/>
      <c r="BU553" s="66"/>
      <c r="BV553" s="66"/>
      <c r="BW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/>
      <c r="BJ554" s="66"/>
      <c r="BK554" s="66"/>
      <c r="BL554" s="66"/>
      <c r="BM554" s="66"/>
      <c r="BN554" s="66"/>
      <c r="BO554" s="66"/>
      <c r="BP554" s="66"/>
      <c r="BQ554" s="66"/>
      <c r="BR554" s="66"/>
      <c r="BS554" s="66"/>
      <c r="BT554" s="66"/>
      <c r="BU554" s="66"/>
      <c r="BV554" s="66"/>
      <c r="BW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/>
      <c r="BJ555" s="66"/>
      <c r="BK555" s="66"/>
      <c r="BL555" s="66"/>
      <c r="BM555" s="66"/>
      <c r="BN555" s="66"/>
      <c r="BO555" s="66"/>
      <c r="BP555" s="66"/>
      <c r="BQ555" s="66"/>
      <c r="BR555" s="66"/>
      <c r="BS555" s="66"/>
      <c r="BT555" s="66"/>
      <c r="BU555" s="66"/>
      <c r="BV555" s="66"/>
      <c r="BW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/>
      <c r="BJ556" s="66"/>
      <c r="BK556" s="66"/>
      <c r="BL556" s="66"/>
      <c r="BM556" s="66"/>
      <c r="BN556" s="66"/>
      <c r="BO556" s="66"/>
      <c r="BP556" s="66"/>
      <c r="BQ556" s="66"/>
      <c r="BR556" s="66"/>
      <c r="BS556" s="66"/>
      <c r="BT556" s="66"/>
      <c r="BU556" s="66"/>
      <c r="BV556" s="66"/>
      <c r="BW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/>
      <c r="BJ557" s="66"/>
      <c r="BK557" s="66"/>
      <c r="BL557" s="66"/>
      <c r="BM557" s="66"/>
      <c r="BN557" s="66"/>
      <c r="BO557" s="66"/>
      <c r="BP557" s="66"/>
      <c r="BQ557" s="66"/>
      <c r="BR557" s="66"/>
      <c r="BS557" s="66"/>
      <c r="BT557" s="66"/>
      <c r="BU557" s="66"/>
      <c r="BV557" s="66"/>
      <c r="BW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  <c r="BF558" s="66"/>
      <c r="BG558" s="66"/>
      <c r="BH558" s="66"/>
      <c r="BI558" s="66"/>
      <c r="BJ558" s="66"/>
      <c r="BK558" s="66"/>
      <c r="BL558" s="66"/>
      <c r="BM558" s="66"/>
      <c r="BN558" s="66"/>
      <c r="BO558" s="66"/>
      <c r="BP558" s="66"/>
      <c r="BQ558" s="66"/>
      <c r="BR558" s="66"/>
      <c r="BS558" s="66"/>
      <c r="BT558" s="66"/>
      <c r="BU558" s="66"/>
      <c r="BV558" s="66"/>
      <c r="BW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/>
      <c r="BJ559" s="66"/>
      <c r="BK559" s="66"/>
      <c r="BL559" s="66"/>
      <c r="BM559" s="66"/>
      <c r="BN559" s="66"/>
      <c r="BO559" s="66"/>
      <c r="BP559" s="66"/>
      <c r="BQ559" s="66"/>
      <c r="BR559" s="66"/>
      <c r="BS559" s="66"/>
      <c r="BT559" s="66"/>
      <c r="BU559" s="66"/>
      <c r="BV559" s="66"/>
      <c r="BW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/>
      <c r="BJ560" s="66"/>
      <c r="BK560" s="66"/>
      <c r="BL560" s="66"/>
      <c r="BM560" s="66"/>
      <c r="BN560" s="66"/>
      <c r="BO560" s="66"/>
      <c r="BP560" s="66"/>
      <c r="BQ560" s="66"/>
      <c r="BR560" s="66"/>
      <c r="BS560" s="66"/>
      <c r="BT560" s="66"/>
      <c r="BU560" s="66"/>
      <c r="BV560" s="66"/>
      <c r="BW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/>
      <c r="BJ561" s="66"/>
      <c r="BK561" s="66"/>
      <c r="BL561" s="66"/>
      <c r="BM561" s="66"/>
      <c r="BN561" s="66"/>
      <c r="BO561" s="66"/>
      <c r="BP561" s="66"/>
      <c r="BQ561" s="66"/>
      <c r="BR561" s="66"/>
      <c r="BS561" s="66"/>
      <c r="BT561" s="66"/>
      <c r="BU561" s="66"/>
      <c r="BV561" s="66"/>
      <c r="BW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/>
      <c r="BJ562" s="66"/>
      <c r="BK562" s="66"/>
      <c r="BL562" s="66"/>
      <c r="BM562" s="66"/>
      <c r="BN562" s="66"/>
      <c r="BO562" s="66"/>
      <c r="BP562" s="66"/>
      <c r="BQ562" s="66"/>
      <c r="BR562" s="66"/>
      <c r="BS562" s="66"/>
      <c r="BT562" s="66"/>
      <c r="BU562" s="66"/>
      <c r="BV562" s="66"/>
      <c r="BW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/>
      <c r="BJ563" s="66"/>
      <c r="BK563" s="66"/>
      <c r="BL563" s="66"/>
      <c r="BM563" s="66"/>
      <c r="BN563" s="66"/>
      <c r="BO563" s="66"/>
      <c r="BP563" s="66"/>
      <c r="BQ563" s="66"/>
      <c r="BR563" s="66"/>
      <c r="BS563" s="66"/>
      <c r="BT563" s="66"/>
      <c r="BU563" s="66"/>
      <c r="BV563" s="66"/>
      <c r="BW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/>
      <c r="BJ564" s="66"/>
      <c r="BK564" s="66"/>
      <c r="BL564" s="66"/>
      <c r="BM564" s="66"/>
      <c r="BN564" s="66"/>
      <c r="BO564" s="66"/>
      <c r="BP564" s="66"/>
      <c r="BQ564" s="66"/>
      <c r="BR564" s="66"/>
      <c r="BS564" s="66"/>
      <c r="BT564" s="66"/>
      <c r="BU564" s="66"/>
      <c r="BV564" s="66"/>
      <c r="BW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  <c r="BF565" s="66"/>
      <c r="BG565" s="66"/>
      <c r="BH565" s="66"/>
      <c r="BI565" s="66"/>
      <c r="BJ565" s="66"/>
      <c r="BK565" s="66"/>
      <c r="BL565" s="66"/>
      <c r="BM565" s="66"/>
      <c r="BN565" s="66"/>
      <c r="BO565" s="66"/>
      <c r="BP565" s="66"/>
      <c r="BQ565" s="66"/>
      <c r="BR565" s="66"/>
      <c r="BS565" s="66"/>
      <c r="BT565" s="66"/>
      <c r="BU565" s="66"/>
      <c r="BV565" s="66"/>
      <c r="BW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  <c r="BF566" s="66"/>
      <c r="BG566" s="66"/>
      <c r="BH566" s="66"/>
      <c r="BI566" s="66"/>
      <c r="BJ566" s="66"/>
      <c r="BK566" s="66"/>
      <c r="BL566" s="66"/>
      <c r="BM566" s="66"/>
      <c r="BN566" s="66"/>
      <c r="BO566" s="66"/>
      <c r="BP566" s="66"/>
      <c r="BQ566" s="66"/>
      <c r="BR566" s="66"/>
      <c r="BS566" s="66"/>
      <c r="BT566" s="66"/>
      <c r="BU566" s="66"/>
      <c r="BV566" s="66"/>
      <c r="BW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/>
      <c r="BJ567" s="66"/>
      <c r="BK567" s="66"/>
      <c r="BL567" s="66"/>
      <c r="BM567" s="66"/>
      <c r="BN567" s="66"/>
      <c r="BO567" s="66"/>
      <c r="BP567" s="66"/>
      <c r="BQ567" s="66"/>
      <c r="BR567" s="66"/>
      <c r="BS567" s="66"/>
      <c r="BT567" s="66"/>
      <c r="BU567" s="66"/>
      <c r="BV567" s="66"/>
      <c r="BW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  <c r="BF568" s="66"/>
      <c r="BG568" s="66"/>
      <c r="BH568" s="66"/>
      <c r="BI568" s="66"/>
      <c r="BJ568" s="66"/>
      <c r="BK568" s="66"/>
      <c r="BL568" s="66"/>
      <c r="BM568" s="66"/>
      <c r="BN568" s="66"/>
      <c r="BO568" s="66"/>
      <c r="BP568" s="66"/>
      <c r="BQ568" s="66"/>
      <c r="BR568" s="66"/>
      <c r="BS568" s="66"/>
      <c r="BT568" s="66"/>
      <c r="BU568" s="66"/>
      <c r="BV568" s="66"/>
      <c r="BW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/>
      <c r="BJ569" s="66"/>
      <c r="BK569" s="66"/>
      <c r="BL569" s="66"/>
      <c r="BM569" s="66"/>
      <c r="BN569" s="66"/>
      <c r="BO569" s="66"/>
      <c r="BP569" s="66"/>
      <c r="BQ569" s="66"/>
      <c r="BR569" s="66"/>
      <c r="BS569" s="66"/>
      <c r="BT569" s="66"/>
      <c r="BU569" s="66"/>
      <c r="BV569" s="66"/>
      <c r="BW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/>
      <c r="BJ570" s="66"/>
      <c r="BK570" s="66"/>
      <c r="BL570" s="66"/>
      <c r="BM570" s="66"/>
      <c r="BN570" s="66"/>
      <c r="BO570" s="66"/>
      <c r="BP570" s="66"/>
      <c r="BQ570" s="66"/>
      <c r="BR570" s="66"/>
      <c r="BS570" s="66"/>
      <c r="BT570" s="66"/>
      <c r="BU570" s="66"/>
      <c r="BV570" s="66"/>
      <c r="BW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  <c r="BF571" s="66"/>
      <c r="BG571" s="66"/>
      <c r="BH571" s="66"/>
      <c r="BI571" s="66"/>
      <c r="BJ571" s="66"/>
      <c r="BK571" s="66"/>
      <c r="BL571" s="66"/>
      <c r="BM571" s="66"/>
      <c r="BN571" s="66"/>
      <c r="BO571" s="66"/>
      <c r="BP571" s="66"/>
      <c r="BQ571" s="66"/>
      <c r="BR571" s="66"/>
      <c r="BS571" s="66"/>
      <c r="BT571" s="66"/>
      <c r="BU571" s="66"/>
      <c r="BV571" s="66"/>
      <c r="BW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  <c r="BF572" s="66"/>
      <c r="BG572" s="66"/>
      <c r="BH572" s="66"/>
      <c r="BI572" s="66"/>
      <c r="BJ572" s="66"/>
      <c r="BK572" s="66"/>
      <c r="BL572" s="66"/>
      <c r="BM572" s="66"/>
      <c r="BN572" s="66"/>
      <c r="BO572" s="66"/>
      <c r="BP572" s="66"/>
      <c r="BQ572" s="66"/>
      <c r="BR572" s="66"/>
      <c r="BS572" s="66"/>
      <c r="BT572" s="66"/>
      <c r="BU572" s="66"/>
      <c r="BV572" s="66"/>
      <c r="BW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/>
      <c r="BJ573" s="66"/>
      <c r="BK573" s="66"/>
      <c r="BL573" s="66"/>
      <c r="BM573" s="66"/>
      <c r="BN573" s="66"/>
      <c r="BO573" s="66"/>
      <c r="BP573" s="66"/>
      <c r="BQ573" s="66"/>
      <c r="BR573" s="66"/>
      <c r="BS573" s="66"/>
      <c r="BT573" s="66"/>
      <c r="BU573" s="66"/>
      <c r="BV573" s="66"/>
      <c r="BW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  <c r="BF574" s="66"/>
      <c r="BG574" s="66"/>
      <c r="BH574" s="66"/>
      <c r="BI574" s="66"/>
      <c r="BJ574" s="66"/>
      <c r="BK574" s="66"/>
      <c r="BL574" s="66"/>
      <c r="BM574" s="66"/>
      <c r="BN574" s="66"/>
      <c r="BO574" s="66"/>
      <c r="BP574" s="66"/>
      <c r="BQ574" s="66"/>
      <c r="BR574" s="66"/>
      <c r="BS574" s="66"/>
      <c r="BT574" s="66"/>
      <c r="BU574" s="66"/>
      <c r="BV574" s="66"/>
      <c r="BW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/>
      <c r="BJ575" s="66"/>
      <c r="BK575" s="66"/>
      <c r="BL575" s="66"/>
      <c r="BM575" s="66"/>
      <c r="BN575" s="66"/>
      <c r="BO575" s="66"/>
      <c r="BP575" s="66"/>
      <c r="BQ575" s="66"/>
      <c r="BR575" s="66"/>
      <c r="BS575" s="66"/>
      <c r="BT575" s="66"/>
      <c r="BU575" s="66"/>
      <c r="BV575" s="66"/>
      <c r="BW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  <c r="BD576" s="66"/>
      <c r="BE576" s="66"/>
      <c r="BF576" s="66"/>
      <c r="BG576" s="66"/>
      <c r="BH576" s="66"/>
      <c r="BI576" s="66"/>
      <c r="BJ576" s="66"/>
      <c r="BK576" s="66"/>
      <c r="BL576" s="66"/>
      <c r="BM576" s="66"/>
      <c r="BN576" s="66"/>
      <c r="BO576" s="66"/>
      <c r="BP576" s="66"/>
      <c r="BQ576" s="66"/>
      <c r="BR576" s="66"/>
      <c r="BS576" s="66"/>
      <c r="BT576" s="66"/>
      <c r="BU576" s="66"/>
      <c r="BV576" s="66"/>
      <c r="BW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  <c r="BF577" s="66"/>
      <c r="BG577" s="66"/>
      <c r="BH577" s="66"/>
      <c r="BI577" s="66"/>
      <c r="BJ577" s="66"/>
      <c r="BK577" s="66"/>
      <c r="BL577" s="66"/>
      <c r="BM577" s="66"/>
      <c r="BN577" s="66"/>
      <c r="BO577" s="66"/>
      <c r="BP577" s="66"/>
      <c r="BQ577" s="66"/>
      <c r="BR577" s="66"/>
      <c r="BS577" s="66"/>
      <c r="BT577" s="66"/>
      <c r="BU577" s="66"/>
      <c r="BV577" s="66"/>
      <c r="BW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  <c r="BD578" s="66"/>
      <c r="BE578" s="66"/>
      <c r="BF578" s="66"/>
      <c r="BG578" s="66"/>
      <c r="BH578" s="66"/>
      <c r="BI578" s="66"/>
      <c r="BJ578" s="66"/>
      <c r="BK578" s="66"/>
      <c r="BL578" s="66"/>
      <c r="BM578" s="66"/>
      <c r="BN578" s="66"/>
      <c r="BO578" s="66"/>
      <c r="BP578" s="66"/>
      <c r="BQ578" s="66"/>
      <c r="BR578" s="66"/>
      <c r="BS578" s="66"/>
      <c r="BT578" s="66"/>
      <c r="BU578" s="66"/>
      <c r="BV578" s="66"/>
      <c r="BW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/>
      <c r="BJ579" s="66"/>
      <c r="BK579" s="66"/>
      <c r="BL579" s="66"/>
      <c r="BM579" s="66"/>
      <c r="BN579" s="66"/>
      <c r="BO579" s="66"/>
      <c r="BP579" s="66"/>
      <c r="BQ579" s="66"/>
      <c r="BR579" s="66"/>
      <c r="BS579" s="66"/>
      <c r="BT579" s="66"/>
      <c r="BU579" s="66"/>
      <c r="BV579" s="66"/>
      <c r="BW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  <c r="BD580" s="66"/>
      <c r="BE580" s="66"/>
      <c r="BF580" s="66"/>
      <c r="BG580" s="66"/>
      <c r="BH580" s="66"/>
      <c r="BI580" s="66"/>
      <c r="BJ580" s="66"/>
      <c r="BK580" s="66"/>
      <c r="BL580" s="66"/>
      <c r="BM580" s="66"/>
      <c r="BN580" s="66"/>
      <c r="BO580" s="66"/>
      <c r="BP580" s="66"/>
      <c r="BQ580" s="66"/>
      <c r="BR580" s="66"/>
      <c r="BS580" s="66"/>
      <c r="BT580" s="66"/>
      <c r="BU580" s="66"/>
      <c r="BV580" s="66"/>
      <c r="BW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  <c r="BD581" s="66"/>
      <c r="BE581" s="66"/>
      <c r="BF581" s="66"/>
      <c r="BG581" s="66"/>
      <c r="BH581" s="66"/>
      <c r="BI581" s="66"/>
      <c r="BJ581" s="66"/>
      <c r="BK581" s="66"/>
      <c r="BL581" s="66"/>
      <c r="BM581" s="66"/>
      <c r="BN581" s="66"/>
      <c r="BO581" s="66"/>
      <c r="BP581" s="66"/>
      <c r="BQ581" s="66"/>
      <c r="BR581" s="66"/>
      <c r="BS581" s="66"/>
      <c r="BT581" s="66"/>
      <c r="BU581" s="66"/>
      <c r="BV581" s="66"/>
      <c r="BW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  <c r="BD582" s="66"/>
      <c r="BE582" s="66"/>
      <c r="BF582" s="66"/>
      <c r="BG582" s="66"/>
      <c r="BH582" s="66"/>
      <c r="BI582" s="66"/>
      <c r="BJ582" s="66"/>
      <c r="BK582" s="66"/>
      <c r="BL582" s="66"/>
      <c r="BM582" s="66"/>
      <c r="BN582" s="66"/>
      <c r="BO582" s="66"/>
      <c r="BP582" s="66"/>
      <c r="BQ582" s="66"/>
      <c r="BR582" s="66"/>
      <c r="BS582" s="66"/>
      <c r="BT582" s="66"/>
      <c r="BU582" s="66"/>
      <c r="BV582" s="66"/>
      <c r="BW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/>
      <c r="BJ583" s="66"/>
      <c r="BK583" s="66"/>
      <c r="BL583" s="66"/>
      <c r="BM583" s="66"/>
      <c r="BN583" s="66"/>
      <c r="BO583" s="66"/>
      <c r="BP583" s="66"/>
      <c r="BQ583" s="66"/>
      <c r="BR583" s="66"/>
      <c r="BS583" s="66"/>
      <c r="BT583" s="66"/>
      <c r="BU583" s="66"/>
      <c r="BV583" s="66"/>
      <c r="BW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  <c r="BF584" s="66"/>
      <c r="BG584" s="66"/>
      <c r="BH584" s="66"/>
      <c r="BI584" s="66"/>
      <c r="BJ584" s="66"/>
      <c r="BK584" s="66"/>
      <c r="BL584" s="66"/>
      <c r="BM584" s="66"/>
      <c r="BN584" s="66"/>
      <c r="BO584" s="66"/>
      <c r="BP584" s="66"/>
      <c r="BQ584" s="66"/>
      <c r="BR584" s="66"/>
      <c r="BS584" s="66"/>
      <c r="BT584" s="66"/>
      <c r="BU584" s="66"/>
      <c r="BV584" s="66"/>
      <c r="BW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  <c r="BD585" s="66"/>
      <c r="BE585" s="66"/>
      <c r="BF585" s="66"/>
      <c r="BG585" s="66"/>
      <c r="BH585" s="66"/>
      <c r="BI585" s="66"/>
      <c r="BJ585" s="66"/>
      <c r="BK585" s="66"/>
      <c r="BL585" s="66"/>
      <c r="BM585" s="66"/>
      <c r="BN585" s="66"/>
      <c r="BO585" s="66"/>
      <c r="BP585" s="66"/>
      <c r="BQ585" s="66"/>
      <c r="BR585" s="66"/>
      <c r="BS585" s="66"/>
      <c r="BT585" s="66"/>
      <c r="BU585" s="66"/>
      <c r="BV585" s="66"/>
      <c r="BW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  <c r="BF586" s="66"/>
      <c r="BG586" s="66"/>
      <c r="BH586" s="66"/>
      <c r="BI586" s="66"/>
      <c r="BJ586" s="66"/>
      <c r="BK586" s="66"/>
      <c r="BL586" s="66"/>
      <c r="BM586" s="66"/>
      <c r="BN586" s="66"/>
      <c r="BO586" s="66"/>
      <c r="BP586" s="66"/>
      <c r="BQ586" s="66"/>
      <c r="BR586" s="66"/>
      <c r="BS586" s="66"/>
      <c r="BT586" s="66"/>
      <c r="BU586" s="66"/>
      <c r="BV586" s="66"/>
      <c r="BW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  <c r="BF587" s="66"/>
      <c r="BG587" s="66"/>
      <c r="BH587" s="66"/>
      <c r="BI587" s="66"/>
      <c r="BJ587" s="66"/>
      <c r="BK587" s="66"/>
      <c r="BL587" s="66"/>
      <c r="BM587" s="66"/>
      <c r="BN587" s="66"/>
      <c r="BO587" s="66"/>
      <c r="BP587" s="66"/>
      <c r="BQ587" s="66"/>
      <c r="BR587" s="66"/>
      <c r="BS587" s="66"/>
      <c r="BT587" s="66"/>
      <c r="BU587" s="66"/>
      <c r="BV587" s="66"/>
      <c r="BW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  <c r="BD588" s="66"/>
      <c r="BE588" s="66"/>
      <c r="BF588" s="66"/>
      <c r="BG588" s="66"/>
      <c r="BH588" s="66"/>
      <c r="BI588" s="66"/>
      <c r="BJ588" s="66"/>
      <c r="BK588" s="66"/>
      <c r="BL588" s="66"/>
      <c r="BM588" s="66"/>
      <c r="BN588" s="66"/>
      <c r="BO588" s="66"/>
      <c r="BP588" s="66"/>
      <c r="BQ588" s="66"/>
      <c r="BR588" s="66"/>
      <c r="BS588" s="66"/>
      <c r="BT588" s="66"/>
      <c r="BU588" s="66"/>
      <c r="BV588" s="66"/>
      <c r="BW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  <c r="BD589" s="66"/>
      <c r="BE589" s="66"/>
      <c r="BF589" s="66"/>
      <c r="BG589" s="66"/>
      <c r="BH589" s="66"/>
      <c r="BI589" s="66"/>
      <c r="BJ589" s="66"/>
      <c r="BK589" s="66"/>
      <c r="BL589" s="66"/>
      <c r="BM589" s="66"/>
      <c r="BN589" s="66"/>
      <c r="BO589" s="66"/>
      <c r="BP589" s="66"/>
      <c r="BQ589" s="66"/>
      <c r="BR589" s="66"/>
      <c r="BS589" s="66"/>
      <c r="BT589" s="66"/>
      <c r="BU589" s="66"/>
      <c r="BV589" s="66"/>
      <c r="BW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  <c r="BF590" s="66"/>
      <c r="BG590" s="66"/>
      <c r="BH590" s="66"/>
      <c r="BI590" s="66"/>
      <c r="BJ590" s="66"/>
      <c r="BK590" s="66"/>
      <c r="BL590" s="66"/>
      <c r="BM590" s="66"/>
      <c r="BN590" s="66"/>
      <c r="BO590" s="66"/>
      <c r="BP590" s="66"/>
      <c r="BQ590" s="66"/>
      <c r="BR590" s="66"/>
      <c r="BS590" s="66"/>
      <c r="BT590" s="66"/>
      <c r="BU590" s="66"/>
      <c r="BV590" s="66"/>
      <c r="BW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  <c r="BD591" s="66"/>
      <c r="BE591" s="66"/>
      <c r="BF591" s="66"/>
      <c r="BG591" s="66"/>
      <c r="BH591" s="66"/>
      <c r="BI591" s="66"/>
      <c r="BJ591" s="66"/>
      <c r="BK591" s="66"/>
      <c r="BL591" s="66"/>
      <c r="BM591" s="66"/>
      <c r="BN591" s="66"/>
      <c r="BO591" s="66"/>
      <c r="BP591" s="66"/>
      <c r="BQ591" s="66"/>
      <c r="BR591" s="66"/>
      <c r="BS591" s="66"/>
      <c r="BT591" s="66"/>
      <c r="BU591" s="66"/>
      <c r="BV591" s="66"/>
      <c r="BW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  <c r="BD592" s="66"/>
      <c r="BE592" s="66"/>
      <c r="BF592" s="66"/>
      <c r="BG592" s="66"/>
      <c r="BH592" s="66"/>
      <c r="BI592" s="66"/>
      <c r="BJ592" s="66"/>
      <c r="BK592" s="66"/>
      <c r="BL592" s="66"/>
      <c r="BM592" s="66"/>
      <c r="BN592" s="66"/>
      <c r="BO592" s="66"/>
      <c r="BP592" s="66"/>
      <c r="BQ592" s="66"/>
      <c r="BR592" s="66"/>
      <c r="BS592" s="66"/>
      <c r="BT592" s="66"/>
      <c r="BU592" s="66"/>
      <c r="BV592" s="66"/>
      <c r="BW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  <c r="BD593" s="66"/>
      <c r="BE593" s="66"/>
      <c r="BF593" s="66"/>
      <c r="BG593" s="66"/>
      <c r="BH593" s="66"/>
      <c r="BI593" s="66"/>
      <c r="BJ593" s="66"/>
      <c r="BK593" s="66"/>
      <c r="BL593" s="66"/>
      <c r="BM593" s="66"/>
      <c r="BN593" s="66"/>
      <c r="BO593" s="66"/>
      <c r="BP593" s="66"/>
      <c r="BQ593" s="66"/>
      <c r="BR593" s="66"/>
      <c r="BS593" s="66"/>
      <c r="BT593" s="66"/>
      <c r="BU593" s="66"/>
      <c r="BV593" s="66"/>
      <c r="BW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  <c r="BF594" s="66"/>
      <c r="BG594" s="66"/>
      <c r="BH594" s="66"/>
      <c r="BI594" s="66"/>
      <c r="BJ594" s="66"/>
      <c r="BK594" s="66"/>
      <c r="BL594" s="66"/>
      <c r="BM594" s="66"/>
      <c r="BN594" s="66"/>
      <c r="BO594" s="66"/>
      <c r="BP594" s="66"/>
      <c r="BQ594" s="66"/>
      <c r="BR594" s="66"/>
      <c r="BS594" s="66"/>
      <c r="BT594" s="66"/>
      <c r="BU594" s="66"/>
      <c r="BV594" s="66"/>
      <c r="BW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  <c r="BD595" s="66"/>
      <c r="BE595" s="66"/>
      <c r="BF595" s="66"/>
      <c r="BG595" s="66"/>
      <c r="BH595" s="66"/>
      <c r="BI595" s="66"/>
      <c r="BJ595" s="66"/>
      <c r="BK595" s="66"/>
      <c r="BL595" s="66"/>
      <c r="BM595" s="66"/>
      <c r="BN595" s="66"/>
      <c r="BO595" s="66"/>
      <c r="BP595" s="66"/>
      <c r="BQ595" s="66"/>
      <c r="BR595" s="66"/>
      <c r="BS595" s="66"/>
      <c r="BT595" s="66"/>
      <c r="BU595" s="66"/>
      <c r="BV595" s="66"/>
      <c r="BW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  <c r="BF596" s="66"/>
      <c r="BG596" s="66"/>
      <c r="BH596" s="66"/>
      <c r="BI596" s="66"/>
      <c r="BJ596" s="66"/>
      <c r="BK596" s="66"/>
      <c r="BL596" s="66"/>
      <c r="BM596" s="66"/>
      <c r="BN596" s="66"/>
      <c r="BO596" s="66"/>
      <c r="BP596" s="66"/>
      <c r="BQ596" s="66"/>
      <c r="BR596" s="66"/>
      <c r="BS596" s="66"/>
      <c r="BT596" s="66"/>
      <c r="BU596" s="66"/>
      <c r="BV596" s="66"/>
      <c r="BW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  <c r="BD597" s="66"/>
      <c r="BE597" s="66"/>
      <c r="BF597" s="66"/>
      <c r="BG597" s="66"/>
      <c r="BH597" s="66"/>
      <c r="BI597" s="66"/>
      <c r="BJ597" s="66"/>
      <c r="BK597" s="66"/>
      <c r="BL597" s="66"/>
      <c r="BM597" s="66"/>
      <c r="BN597" s="66"/>
      <c r="BO597" s="66"/>
      <c r="BP597" s="66"/>
      <c r="BQ597" s="66"/>
      <c r="BR597" s="66"/>
      <c r="BS597" s="66"/>
      <c r="BT597" s="66"/>
      <c r="BU597" s="66"/>
      <c r="BV597" s="66"/>
      <c r="BW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  <c r="BD598" s="66"/>
      <c r="BE598" s="66"/>
      <c r="BF598" s="66"/>
      <c r="BG598" s="66"/>
      <c r="BH598" s="66"/>
      <c r="BI598" s="66"/>
      <c r="BJ598" s="66"/>
      <c r="BK598" s="66"/>
      <c r="BL598" s="66"/>
      <c r="BM598" s="66"/>
      <c r="BN598" s="66"/>
      <c r="BO598" s="66"/>
      <c r="BP598" s="66"/>
      <c r="BQ598" s="66"/>
      <c r="BR598" s="66"/>
      <c r="BS598" s="66"/>
      <c r="BT598" s="66"/>
      <c r="BU598" s="66"/>
      <c r="BV598" s="66"/>
      <c r="BW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  <c r="BF599" s="66"/>
      <c r="BG599" s="66"/>
      <c r="BH599" s="66"/>
      <c r="BI599" s="66"/>
      <c r="BJ599" s="66"/>
      <c r="BK599" s="66"/>
      <c r="BL599" s="66"/>
      <c r="BM599" s="66"/>
      <c r="BN599" s="66"/>
      <c r="BO599" s="66"/>
      <c r="BP599" s="66"/>
      <c r="BQ599" s="66"/>
      <c r="BR599" s="66"/>
      <c r="BS599" s="66"/>
      <c r="BT599" s="66"/>
      <c r="BU599" s="66"/>
      <c r="BV599" s="66"/>
      <c r="BW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  <c r="BD600" s="66"/>
      <c r="BE600" s="66"/>
      <c r="BF600" s="66"/>
      <c r="BG600" s="66"/>
      <c r="BH600" s="66"/>
      <c r="BI600" s="66"/>
      <c r="BJ600" s="66"/>
      <c r="BK600" s="66"/>
      <c r="BL600" s="66"/>
      <c r="BM600" s="66"/>
      <c r="BN600" s="66"/>
      <c r="BO600" s="66"/>
      <c r="BP600" s="66"/>
      <c r="BQ600" s="66"/>
      <c r="BR600" s="66"/>
      <c r="BS600" s="66"/>
      <c r="BT600" s="66"/>
      <c r="BU600" s="66"/>
      <c r="BV600" s="66"/>
      <c r="BW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  <c r="BD601" s="66"/>
      <c r="BE601" s="66"/>
      <c r="BF601" s="66"/>
      <c r="BG601" s="66"/>
      <c r="BH601" s="66"/>
      <c r="BI601" s="66"/>
      <c r="BJ601" s="66"/>
      <c r="BK601" s="66"/>
      <c r="BL601" s="66"/>
      <c r="BM601" s="66"/>
      <c r="BN601" s="66"/>
      <c r="BO601" s="66"/>
      <c r="BP601" s="66"/>
      <c r="BQ601" s="66"/>
      <c r="BR601" s="66"/>
      <c r="BS601" s="66"/>
      <c r="BT601" s="66"/>
      <c r="BU601" s="66"/>
      <c r="BV601" s="66"/>
      <c r="BW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/>
      <c r="BJ602" s="66"/>
      <c r="BK602" s="66"/>
      <c r="BL602" s="66"/>
      <c r="BM602" s="66"/>
      <c r="BN602" s="66"/>
      <c r="BO602" s="66"/>
      <c r="BP602" s="66"/>
      <c r="BQ602" s="66"/>
      <c r="BR602" s="66"/>
      <c r="BS602" s="66"/>
      <c r="BT602" s="66"/>
      <c r="BU602" s="66"/>
      <c r="BV602" s="66"/>
      <c r="BW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  <c r="BF603" s="66"/>
      <c r="BG603" s="66"/>
      <c r="BH603" s="66"/>
      <c r="BI603" s="66"/>
      <c r="BJ603" s="66"/>
      <c r="BK603" s="66"/>
      <c r="BL603" s="66"/>
      <c r="BM603" s="66"/>
      <c r="BN603" s="66"/>
      <c r="BO603" s="66"/>
      <c r="BP603" s="66"/>
      <c r="BQ603" s="66"/>
      <c r="BR603" s="66"/>
      <c r="BS603" s="66"/>
      <c r="BT603" s="66"/>
      <c r="BU603" s="66"/>
      <c r="BV603" s="66"/>
      <c r="BW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  <c r="BF604" s="66"/>
      <c r="BG604" s="66"/>
      <c r="BH604" s="66"/>
      <c r="BI604" s="66"/>
      <c r="BJ604" s="66"/>
      <c r="BK604" s="66"/>
      <c r="BL604" s="66"/>
      <c r="BM604" s="66"/>
      <c r="BN604" s="66"/>
      <c r="BO604" s="66"/>
      <c r="BP604" s="66"/>
      <c r="BQ604" s="66"/>
      <c r="BR604" s="66"/>
      <c r="BS604" s="66"/>
      <c r="BT604" s="66"/>
      <c r="BU604" s="66"/>
      <c r="BV604" s="66"/>
      <c r="BW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  <c r="BF605" s="66"/>
      <c r="BG605" s="66"/>
      <c r="BH605" s="66"/>
      <c r="BI605" s="66"/>
      <c r="BJ605" s="66"/>
      <c r="BK605" s="66"/>
      <c r="BL605" s="66"/>
      <c r="BM605" s="66"/>
      <c r="BN605" s="66"/>
      <c r="BO605" s="66"/>
      <c r="BP605" s="66"/>
      <c r="BQ605" s="66"/>
      <c r="BR605" s="66"/>
      <c r="BS605" s="66"/>
      <c r="BT605" s="66"/>
      <c r="BU605" s="66"/>
      <c r="BV605" s="66"/>
      <c r="BW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  <c r="BF606" s="66"/>
      <c r="BG606" s="66"/>
      <c r="BH606" s="66"/>
      <c r="BI606" s="66"/>
      <c r="BJ606" s="66"/>
      <c r="BK606" s="66"/>
      <c r="BL606" s="66"/>
      <c r="BM606" s="66"/>
      <c r="BN606" s="66"/>
      <c r="BO606" s="66"/>
      <c r="BP606" s="66"/>
      <c r="BQ606" s="66"/>
      <c r="BR606" s="66"/>
      <c r="BS606" s="66"/>
      <c r="BT606" s="66"/>
      <c r="BU606" s="66"/>
      <c r="BV606" s="66"/>
      <c r="BW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  <c r="BF607" s="66"/>
      <c r="BG607" s="66"/>
      <c r="BH607" s="66"/>
      <c r="BI607" s="66"/>
      <c r="BJ607" s="66"/>
      <c r="BK607" s="66"/>
      <c r="BL607" s="66"/>
      <c r="BM607" s="66"/>
      <c r="BN607" s="66"/>
      <c r="BO607" s="66"/>
      <c r="BP607" s="66"/>
      <c r="BQ607" s="66"/>
      <c r="BR607" s="66"/>
      <c r="BS607" s="66"/>
      <c r="BT607" s="66"/>
      <c r="BU607" s="66"/>
      <c r="BV607" s="66"/>
      <c r="BW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  <c r="BF608" s="66"/>
      <c r="BG608" s="66"/>
      <c r="BH608" s="66"/>
      <c r="BI608" s="66"/>
      <c r="BJ608" s="66"/>
      <c r="BK608" s="66"/>
      <c r="BL608" s="66"/>
      <c r="BM608" s="66"/>
      <c r="BN608" s="66"/>
      <c r="BO608" s="66"/>
      <c r="BP608" s="66"/>
      <c r="BQ608" s="66"/>
      <c r="BR608" s="66"/>
      <c r="BS608" s="66"/>
      <c r="BT608" s="66"/>
      <c r="BU608" s="66"/>
      <c r="BV608" s="66"/>
      <c r="BW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  <c r="BD609" s="66"/>
      <c r="BE609" s="66"/>
      <c r="BF609" s="66"/>
      <c r="BG609" s="66"/>
      <c r="BH609" s="66"/>
      <c r="BI609" s="66"/>
      <c r="BJ609" s="66"/>
      <c r="BK609" s="66"/>
      <c r="BL609" s="66"/>
      <c r="BM609" s="66"/>
      <c r="BN609" s="66"/>
      <c r="BO609" s="66"/>
      <c r="BP609" s="66"/>
      <c r="BQ609" s="66"/>
      <c r="BR609" s="66"/>
      <c r="BS609" s="66"/>
      <c r="BT609" s="66"/>
      <c r="BU609" s="66"/>
      <c r="BV609" s="66"/>
      <c r="BW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  <c r="BF610" s="66"/>
      <c r="BG610" s="66"/>
      <c r="BH610" s="66"/>
      <c r="BI610" s="66"/>
      <c r="BJ610" s="66"/>
      <c r="BK610" s="66"/>
      <c r="BL610" s="66"/>
      <c r="BM610" s="66"/>
      <c r="BN610" s="66"/>
      <c r="BO610" s="66"/>
      <c r="BP610" s="66"/>
      <c r="BQ610" s="66"/>
      <c r="BR610" s="66"/>
      <c r="BS610" s="66"/>
      <c r="BT610" s="66"/>
      <c r="BU610" s="66"/>
      <c r="BV610" s="66"/>
      <c r="BW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  <c r="BF611" s="66"/>
      <c r="BG611" s="66"/>
      <c r="BH611" s="66"/>
      <c r="BI611" s="66"/>
      <c r="BJ611" s="66"/>
      <c r="BK611" s="66"/>
      <c r="BL611" s="66"/>
      <c r="BM611" s="66"/>
      <c r="BN611" s="66"/>
      <c r="BO611" s="66"/>
      <c r="BP611" s="66"/>
      <c r="BQ611" s="66"/>
      <c r="BR611" s="66"/>
      <c r="BS611" s="66"/>
      <c r="BT611" s="66"/>
      <c r="BU611" s="66"/>
      <c r="BV611" s="66"/>
      <c r="BW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/>
      <c r="BJ612" s="66"/>
      <c r="BK612" s="66"/>
      <c r="BL612" s="66"/>
      <c r="BM612" s="66"/>
      <c r="BN612" s="66"/>
      <c r="BO612" s="66"/>
      <c r="BP612" s="66"/>
      <c r="BQ612" s="66"/>
      <c r="BR612" s="66"/>
      <c r="BS612" s="66"/>
      <c r="BT612" s="66"/>
      <c r="BU612" s="66"/>
      <c r="BV612" s="66"/>
      <c r="BW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  <c r="BD613" s="66"/>
      <c r="BE613" s="66"/>
      <c r="BF613" s="66"/>
      <c r="BG613" s="66"/>
      <c r="BH613" s="66"/>
      <c r="BI613" s="66"/>
      <c r="BJ613" s="66"/>
      <c r="BK613" s="66"/>
      <c r="BL613" s="66"/>
      <c r="BM613" s="66"/>
      <c r="BN613" s="66"/>
      <c r="BO613" s="66"/>
      <c r="BP613" s="66"/>
      <c r="BQ613" s="66"/>
      <c r="BR613" s="66"/>
      <c r="BS613" s="66"/>
      <c r="BT613" s="66"/>
      <c r="BU613" s="66"/>
      <c r="BV613" s="66"/>
      <c r="BW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  <c r="BF614" s="66"/>
      <c r="BG614" s="66"/>
      <c r="BH614" s="66"/>
      <c r="BI614" s="66"/>
      <c r="BJ614" s="66"/>
      <c r="BK614" s="66"/>
      <c r="BL614" s="66"/>
      <c r="BM614" s="66"/>
      <c r="BN614" s="66"/>
      <c r="BO614" s="66"/>
      <c r="BP614" s="66"/>
      <c r="BQ614" s="66"/>
      <c r="BR614" s="66"/>
      <c r="BS614" s="66"/>
      <c r="BT614" s="66"/>
      <c r="BU614" s="66"/>
      <c r="BV614" s="66"/>
      <c r="BW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  <c r="BF615" s="66"/>
      <c r="BG615" s="66"/>
      <c r="BH615" s="66"/>
      <c r="BI615" s="66"/>
      <c r="BJ615" s="66"/>
      <c r="BK615" s="66"/>
      <c r="BL615" s="66"/>
      <c r="BM615" s="66"/>
      <c r="BN615" s="66"/>
      <c r="BO615" s="66"/>
      <c r="BP615" s="66"/>
      <c r="BQ615" s="66"/>
      <c r="BR615" s="66"/>
      <c r="BS615" s="66"/>
      <c r="BT615" s="66"/>
      <c r="BU615" s="66"/>
      <c r="BV615" s="66"/>
      <c r="BW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  <c r="BF616" s="66"/>
      <c r="BG616" s="66"/>
      <c r="BH616" s="66"/>
      <c r="BI616" s="66"/>
      <c r="BJ616" s="66"/>
      <c r="BK616" s="66"/>
      <c r="BL616" s="66"/>
      <c r="BM616" s="66"/>
      <c r="BN616" s="66"/>
      <c r="BO616" s="66"/>
      <c r="BP616" s="66"/>
      <c r="BQ616" s="66"/>
      <c r="BR616" s="66"/>
      <c r="BS616" s="66"/>
      <c r="BT616" s="66"/>
      <c r="BU616" s="66"/>
      <c r="BV616" s="66"/>
      <c r="BW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  <c r="BD617" s="66"/>
      <c r="BE617" s="66"/>
      <c r="BF617" s="66"/>
      <c r="BG617" s="66"/>
      <c r="BH617" s="66"/>
      <c r="BI617" s="66"/>
      <c r="BJ617" s="66"/>
      <c r="BK617" s="66"/>
      <c r="BL617" s="66"/>
      <c r="BM617" s="66"/>
      <c r="BN617" s="66"/>
      <c r="BO617" s="66"/>
      <c r="BP617" s="66"/>
      <c r="BQ617" s="66"/>
      <c r="BR617" s="66"/>
      <c r="BS617" s="66"/>
      <c r="BT617" s="66"/>
      <c r="BU617" s="66"/>
      <c r="BV617" s="66"/>
      <c r="BW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  <c r="BF618" s="66"/>
      <c r="BG618" s="66"/>
      <c r="BH618" s="66"/>
      <c r="BI618" s="66"/>
      <c r="BJ618" s="66"/>
      <c r="BK618" s="66"/>
      <c r="BL618" s="66"/>
      <c r="BM618" s="66"/>
      <c r="BN618" s="66"/>
      <c r="BO618" s="66"/>
      <c r="BP618" s="66"/>
      <c r="BQ618" s="66"/>
      <c r="BR618" s="66"/>
      <c r="BS618" s="66"/>
      <c r="BT618" s="66"/>
      <c r="BU618" s="66"/>
      <c r="BV618" s="66"/>
      <c r="BW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  <c r="BF619" s="66"/>
      <c r="BG619" s="66"/>
      <c r="BH619" s="66"/>
      <c r="BI619" s="66"/>
      <c r="BJ619" s="66"/>
      <c r="BK619" s="66"/>
      <c r="BL619" s="66"/>
      <c r="BM619" s="66"/>
      <c r="BN619" s="66"/>
      <c r="BO619" s="66"/>
      <c r="BP619" s="66"/>
      <c r="BQ619" s="66"/>
      <c r="BR619" s="66"/>
      <c r="BS619" s="66"/>
      <c r="BT619" s="66"/>
      <c r="BU619" s="66"/>
      <c r="BV619" s="66"/>
      <c r="BW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  <c r="BF620" s="66"/>
      <c r="BG620" s="66"/>
      <c r="BH620" s="66"/>
      <c r="BI620" s="66"/>
      <c r="BJ620" s="66"/>
      <c r="BK620" s="66"/>
      <c r="BL620" s="66"/>
      <c r="BM620" s="66"/>
      <c r="BN620" s="66"/>
      <c r="BO620" s="66"/>
      <c r="BP620" s="66"/>
      <c r="BQ620" s="66"/>
      <c r="BR620" s="66"/>
      <c r="BS620" s="66"/>
      <c r="BT620" s="66"/>
      <c r="BU620" s="66"/>
      <c r="BV620" s="66"/>
      <c r="BW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  <c r="BD621" s="66"/>
      <c r="BE621" s="66"/>
      <c r="BF621" s="66"/>
      <c r="BG621" s="66"/>
      <c r="BH621" s="66"/>
      <c r="BI621" s="66"/>
      <c r="BJ621" s="66"/>
      <c r="BK621" s="66"/>
      <c r="BL621" s="66"/>
      <c r="BM621" s="66"/>
      <c r="BN621" s="66"/>
      <c r="BO621" s="66"/>
      <c r="BP621" s="66"/>
      <c r="BQ621" s="66"/>
      <c r="BR621" s="66"/>
      <c r="BS621" s="66"/>
      <c r="BT621" s="66"/>
      <c r="BU621" s="66"/>
      <c r="BV621" s="66"/>
      <c r="BW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  <c r="BF622" s="66"/>
      <c r="BG622" s="66"/>
      <c r="BH622" s="66"/>
      <c r="BI622" s="66"/>
      <c r="BJ622" s="66"/>
      <c r="BK622" s="66"/>
      <c r="BL622" s="66"/>
      <c r="BM622" s="66"/>
      <c r="BN622" s="66"/>
      <c r="BO622" s="66"/>
      <c r="BP622" s="66"/>
      <c r="BQ622" s="66"/>
      <c r="BR622" s="66"/>
      <c r="BS622" s="66"/>
      <c r="BT622" s="66"/>
      <c r="BU622" s="66"/>
      <c r="BV622" s="66"/>
      <c r="BW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/>
      <c r="BJ623" s="66"/>
      <c r="BK623" s="66"/>
      <c r="BL623" s="66"/>
      <c r="BM623" s="66"/>
      <c r="BN623" s="66"/>
      <c r="BO623" s="66"/>
      <c r="BP623" s="66"/>
      <c r="BQ623" s="66"/>
      <c r="BR623" s="66"/>
      <c r="BS623" s="66"/>
      <c r="BT623" s="66"/>
      <c r="BU623" s="66"/>
      <c r="BV623" s="66"/>
      <c r="BW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  <c r="BF624" s="66"/>
      <c r="BG624" s="66"/>
      <c r="BH624" s="66"/>
      <c r="BI624" s="66"/>
      <c r="BJ624" s="66"/>
      <c r="BK624" s="66"/>
      <c r="BL624" s="66"/>
      <c r="BM624" s="66"/>
      <c r="BN624" s="66"/>
      <c r="BO624" s="66"/>
      <c r="BP624" s="66"/>
      <c r="BQ624" s="66"/>
      <c r="BR624" s="66"/>
      <c r="BS624" s="66"/>
      <c r="BT624" s="66"/>
      <c r="BU624" s="66"/>
      <c r="BV624" s="66"/>
      <c r="BW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  <c r="BD625" s="66"/>
      <c r="BE625" s="66"/>
      <c r="BF625" s="66"/>
      <c r="BG625" s="66"/>
      <c r="BH625" s="66"/>
      <c r="BI625" s="66"/>
      <c r="BJ625" s="66"/>
      <c r="BK625" s="66"/>
      <c r="BL625" s="66"/>
      <c r="BM625" s="66"/>
      <c r="BN625" s="66"/>
      <c r="BO625" s="66"/>
      <c r="BP625" s="66"/>
      <c r="BQ625" s="66"/>
      <c r="BR625" s="66"/>
      <c r="BS625" s="66"/>
      <c r="BT625" s="66"/>
      <c r="BU625" s="66"/>
      <c r="BV625" s="66"/>
      <c r="BW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  <c r="BD626" s="66"/>
      <c r="BE626" s="66"/>
      <c r="BF626" s="66"/>
      <c r="BG626" s="66"/>
      <c r="BH626" s="66"/>
      <c r="BI626" s="66"/>
      <c r="BJ626" s="66"/>
      <c r="BK626" s="66"/>
      <c r="BL626" s="66"/>
      <c r="BM626" s="66"/>
      <c r="BN626" s="66"/>
      <c r="BO626" s="66"/>
      <c r="BP626" s="66"/>
      <c r="BQ626" s="66"/>
      <c r="BR626" s="66"/>
      <c r="BS626" s="66"/>
      <c r="BT626" s="66"/>
      <c r="BU626" s="66"/>
      <c r="BV626" s="66"/>
      <c r="BW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  <c r="BF627" s="66"/>
      <c r="BG627" s="66"/>
      <c r="BH627" s="66"/>
      <c r="BI627" s="66"/>
      <c r="BJ627" s="66"/>
      <c r="BK627" s="66"/>
      <c r="BL627" s="66"/>
      <c r="BM627" s="66"/>
      <c r="BN627" s="66"/>
      <c r="BO627" s="66"/>
      <c r="BP627" s="66"/>
      <c r="BQ627" s="66"/>
      <c r="BR627" s="66"/>
      <c r="BS627" s="66"/>
      <c r="BT627" s="66"/>
      <c r="BU627" s="66"/>
      <c r="BV627" s="66"/>
      <c r="BW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  <c r="BF628" s="66"/>
      <c r="BG628" s="66"/>
      <c r="BH628" s="66"/>
      <c r="BI628" s="66"/>
      <c r="BJ628" s="66"/>
      <c r="BK628" s="66"/>
      <c r="BL628" s="66"/>
      <c r="BM628" s="66"/>
      <c r="BN628" s="66"/>
      <c r="BO628" s="66"/>
      <c r="BP628" s="66"/>
      <c r="BQ628" s="66"/>
      <c r="BR628" s="66"/>
      <c r="BS628" s="66"/>
      <c r="BT628" s="66"/>
      <c r="BU628" s="66"/>
      <c r="BV628" s="66"/>
      <c r="BW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  <c r="BD629" s="66"/>
      <c r="BE629" s="66"/>
      <c r="BF629" s="66"/>
      <c r="BG629" s="66"/>
      <c r="BH629" s="66"/>
      <c r="BI629" s="66"/>
      <c r="BJ629" s="66"/>
      <c r="BK629" s="66"/>
      <c r="BL629" s="66"/>
      <c r="BM629" s="66"/>
      <c r="BN629" s="66"/>
      <c r="BO629" s="66"/>
      <c r="BP629" s="66"/>
      <c r="BQ629" s="66"/>
      <c r="BR629" s="66"/>
      <c r="BS629" s="66"/>
      <c r="BT629" s="66"/>
      <c r="BU629" s="66"/>
      <c r="BV629" s="66"/>
      <c r="BW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  <c r="BD630" s="66"/>
      <c r="BE630" s="66"/>
      <c r="BF630" s="66"/>
      <c r="BG630" s="66"/>
      <c r="BH630" s="66"/>
      <c r="BI630" s="66"/>
      <c r="BJ630" s="66"/>
      <c r="BK630" s="66"/>
      <c r="BL630" s="66"/>
      <c r="BM630" s="66"/>
      <c r="BN630" s="66"/>
      <c r="BO630" s="66"/>
      <c r="BP630" s="66"/>
      <c r="BQ630" s="66"/>
      <c r="BR630" s="66"/>
      <c r="BS630" s="66"/>
      <c r="BT630" s="66"/>
      <c r="BU630" s="66"/>
      <c r="BV630" s="66"/>
      <c r="BW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  <c r="BF631" s="66"/>
      <c r="BG631" s="66"/>
      <c r="BH631" s="66"/>
      <c r="BI631" s="66"/>
      <c r="BJ631" s="66"/>
      <c r="BK631" s="66"/>
      <c r="BL631" s="66"/>
      <c r="BM631" s="66"/>
      <c r="BN631" s="66"/>
      <c r="BO631" s="66"/>
      <c r="BP631" s="66"/>
      <c r="BQ631" s="66"/>
      <c r="BR631" s="66"/>
      <c r="BS631" s="66"/>
      <c r="BT631" s="66"/>
      <c r="BU631" s="66"/>
      <c r="BV631" s="66"/>
      <c r="BW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  <c r="BD632" s="66"/>
      <c r="BE632" s="66"/>
      <c r="BF632" s="66"/>
      <c r="BG632" s="66"/>
      <c r="BH632" s="66"/>
      <c r="BI632" s="66"/>
      <c r="BJ632" s="66"/>
      <c r="BK632" s="66"/>
      <c r="BL632" s="66"/>
      <c r="BM632" s="66"/>
      <c r="BN632" s="66"/>
      <c r="BO632" s="66"/>
      <c r="BP632" s="66"/>
      <c r="BQ632" s="66"/>
      <c r="BR632" s="66"/>
      <c r="BS632" s="66"/>
      <c r="BT632" s="66"/>
      <c r="BU632" s="66"/>
      <c r="BV632" s="66"/>
      <c r="BW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  <c r="BD633" s="66"/>
      <c r="BE633" s="66"/>
      <c r="BF633" s="66"/>
      <c r="BG633" s="66"/>
      <c r="BH633" s="66"/>
      <c r="BI633" s="66"/>
      <c r="BJ633" s="66"/>
      <c r="BK633" s="66"/>
      <c r="BL633" s="66"/>
      <c r="BM633" s="66"/>
      <c r="BN633" s="66"/>
      <c r="BO633" s="66"/>
      <c r="BP633" s="66"/>
      <c r="BQ633" s="66"/>
      <c r="BR633" s="66"/>
      <c r="BS633" s="66"/>
      <c r="BT633" s="66"/>
      <c r="BU633" s="66"/>
      <c r="BV633" s="66"/>
      <c r="BW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  <c r="BF634" s="66"/>
      <c r="BG634" s="66"/>
      <c r="BH634" s="66"/>
      <c r="BI634" s="66"/>
      <c r="BJ634" s="66"/>
      <c r="BK634" s="66"/>
      <c r="BL634" s="66"/>
      <c r="BM634" s="66"/>
      <c r="BN634" s="66"/>
      <c r="BO634" s="66"/>
      <c r="BP634" s="66"/>
      <c r="BQ634" s="66"/>
      <c r="BR634" s="66"/>
      <c r="BS634" s="66"/>
      <c r="BT634" s="66"/>
      <c r="BU634" s="66"/>
      <c r="BV634" s="66"/>
      <c r="BW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  <c r="BD635" s="66"/>
      <c r="BE635" s="66"/>
      <c r="BF635" s="66"/>
      <c r="BG635" s="66"/>
      <c r="BH635" s="66"/>
      <c r="BI635" s="66"/>
      <c r="BJ635" s="66"/>
      <c r="BK635" s="66"/>
      <c r="BL635" s="66"/>
      <c r="BM635" s="66"/>
      <c r="BN635" s="66"/>
      <c r="BO635" s="66"/>
      <c r="BP635" s="66"/>
      <c r="BQ635" s="66"/>
      <c r="BR635" s="66"/>
      <c r="BS635" s="66"/>
      <c r="BT635" s="66"/>
      <c r="BU635" s="66"/>
      <c r="BV635" s="66"/>
      <c r="BW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  <c r="BD636" s="66"/>
      <c r="BE636" s="66"/>
      <c r="BF636" s="66"/>
      <c r="BG636" s="66"/>
      <c r="BH636" s="66"/>
      <c r="BI636" s="66"/>
      <c r="BJ636" s="66"/>
      <c r="BK636" s="66"/>
      <c r="BL636" s="66"/>
      <c r="BM636" s="66"/>
      <c r="BN636" s="66"/>
      <c r="BO636" s="66"/>
      <c r="BP636" s="66"/>
      <c r="BQ636" s="66"/>
      <c r="BR636" s="66"/>
      <c r="BS636" s="66"/>
      <c r="BT636" s="66"/>
      <c r="BU636" s="66"/>
      <c r="BV636" s="66"/>
      <c r="BW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  <c r="BF637" s="66"/>
      <c r="BG637" s="66"/>
      <c r="BH637" s="66"/>
      <c r="BI637" s="66"/>
      <c r="BJ637" s="66"/>
      <c r="BK637" s="66"/>
      <c r="BL637" s="66"/>
      <c r="BM637" s="66"/>
      <c r="BN637" s="66"/>
      <c r="BO637" s="66"/>
      <c r="BP637" s="66"/>
      <c r="BQ637" s="66"/>
      <c r="BR637" s="66"/>
      <c r="BS637" s="66"/>
      <c r="BT637" s="66"/>
      <c r="BU637" s="66"/>
      <c r="BV637" s="66"/>
      <c r="BW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  <c r="BD638" s="66"/>
      <c r="BE638" s="66"/>
      <c r="BF638" s="66"/>
      <c r="BG638" s="66"/>
      <c r="BH638" s="66"/>
      <c r="BI638" s="66"/>
      <c r="BJ638" s="66"/>
      <c r="BK638" s="66"/>
      <c r="BL638" s="66"/>
      <c r="BM638" s="66"/>
      <c r="BN638" s="66"/>
      <c r="BO638" s="66"/>
      <c r="BP638" s="66"/>
      <c r="BQ638" s="66"/>
      <c r="BR638" s="66"/>
      <c r="BS638" s="66"/>
      <c r="BT638" s="66"/>
      <c r="BU638" s="66"/>
      <c r="BV638" s="66"/>
      <c r="BW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  <c r="BF639" s="66"/>
      <c r="BG639" s="66"/>
      <c r="BH639" s="66"/>
      <c r="BI639" s="66"/>
      <c r="BJ639" s="66"/>
      <c r="BK639" s="66"/>
      <c r="BL639" s="66"/>
      <c r="BM639" s="66"/>
      <c r="BN639" s="66"/>
      <c r="BO639" s="66"/>
      <c r="BP639" s="66"/>
      <c r="BQ639" s="66"/>
      <c r="BR639" s="66"/>
      <c r="BS639" s="66"/>
      <c r="BT639" s="66"/>
      <c r="BU639" s="66"/>
      <c r="BV639" s="66"/>
      <c r="BW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  <c r="BD640" s="66"/>
      <c r="BE640" s="66"/>
      <c r="BF640" s="66"/>
      <c r="BG640" s="66"/>
      <c r="BH640" s="66"/>
      <c r="BI640" s="66"/>
      <c r="BJ640" s="66"/>
      <c r="BK640" s="66"/>
      <c r="BL640" s="66"/>
      <c r="BM640" s="66"/>
      <c r="BN640" s="66"/>
      <c r="BO640" s="66"/>
      <c r="BP640" s="66"/>
      <c r="BQ640" s="66"/>
      <c r="BR640" s="66"/>
      <c r="BS640" s="66"/>
      <c r="BT640" s="66"/>
      <c r="BU640" s="66"/>
      <c r="BV640" s="66"/>
      <c r="BW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  <c r="BD641" s="66"/>
      <c r="BE641" s="66"/>
      <c r="BF641" s="66"/>
      <c r="BG641" s="66"/>
      <c r="BH641" s="66"/>
      <c r="BI641" s="66"/>
      <c r="BJ641" s="66"/>
      <c r="BK641" s="66"/>
      <c r="BL641" s="66"/>
      <c r="BM641" s="66"/>
      <c r="BN641" s="66"/>
      <c r="BO641" s="66"/>
      <c r="BP641" s="66"/>
      <c r="BQ641" s="66"/>
      <c r="BR641" s="66"/>
      <c r="BS641" s="66"/>
      <c r="BT641" s="66"/>
      <c r="BU641" s="66"/>
      <c r="BV641" s="66"/>
      <c r="BW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  <c r="BD642" s="66"/>
      <c r="BE642" s="66"/>
      <c r="BF642" s="66"/>
      <c r="BG642" s="66"/>
      <c r="BH642" s="66"/>
      <c r="BI642" s="66"/>
      <c r="BJ642" s="66"/>
      <c r="BK642" s="66"/>
      <c r="BL642" s="66"/>
      <c r="BM642" s="66"/>
      <c r="BN642" s="66"/>
      <c r="BO642" s="66"/>
      <c r="BP642" s="66"/>
      <c r="BQ642" s="66"/>
      <c r="BR642" s="66"/>
      <c r="BS642" s="66"/>
      <c r="BT642" s="66"/>
      <c r="BU642" s="66"/>
      <c r="BV642" s="66"/>
      <c r="BW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  <c r="BD643" s="66"/>
      <c r="BE643" s="66"/>
      <c r="BF643" s="66"/>
      <c r="BG643" s="66"/>
      <c r="BH643" s="66"/>
      <c r="BI643" s="66"/>
      <c r="BJ643" s="66"/>
      <c r="BK643" s="66"/>
      <c r="BL643" s="66"/>
      <c r="BM643" s="66"/>
      <c r="BN643" s="66"/>
      <c r="BO643" s="66"/>
      <c r="BP643" s="66"/>
      <c r="BQ643" s="66"/>
      <c r="BR643" s="66"/>
      <c r="BS643" s="66"/>
      <c r="BT643" s="66"/>
      <c r="BU643" s="66"/>
      <c r="BV643" s="66"/>
      <c r="BW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  <c r="BF644" s="66"/>
      <c r="BG644" s="66"/>
      <c r="BH644" s="66"/>
      <c r="BI644" s="66"/>
      <c r="BJ644" s="66"/>
      <c r="BK644" s="66"/>
      <c r="BL644" s="66"/>
      <c r="BM644" s="66"/>
      <c r="BN644" s="66"/>
      <c r="BO644" s="66"/>
      <c r="BP644" s="66"/>
      <c r="BQ644" s="66"/>
      <c r="BR644" s="66"/>
      <c r="BS644" s="66"/>
      <c r="BT644" s="66"/>
      <c r="BU644" s="66"/>
      <c r="BV644" s="66"/>
      <c r="BW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  <c r="BD645" s="66"/>
      <c r="BE645" s="66"/>
      <c r="BF645" s="66"/>
      <c r="BG645" s="66"/>
      <c r="BH645" s="66"/>
      <c r="BI645" s="66"/>
      <c r="BJ645" s="66"/>
      <c r="BK645" s="66"/>
      <c r="BL645" s="66"/>
      <c r="BM645" s="66"/>
      <c r="BN645" s="66"/>
      <c r="BO645" s="66"/>
      <c r="BP645" s="66"/>
      <c r="BQ645" s="66"/>
      <c r="BR645" s="66"/>
      <c r="BS645" s="66"/>
      <c r="BT645" s="66"/>
      <c r="BU645" s="66"/>
      <c r="BV645" s="66"/>
      <c r="BW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  <c r="BF646" s="66"/>
      <c r="BG646" s="66"/>
      <c r="BH646" s="66"/>
      <c r="BI646" s="66"/>
      <c r="BJ646" s="66"/>
      <c r="BK646" s="66"/>
      <c r="BL646" s="66"/>
      <c r="BM646" s="66"/>
      <c r="BN646" s="66"/>
      <c r="BO646" s="66"/>
      <c r="BP646" s="66"/>
      <c r="BQ646" s="66"/>
      <c r="BR646" s="66"/>
      <c r="BS646" s="66"/>
      <c r="BT646" s="66"/>
      <c r="BU646" s="66"/>
      <c r="BV646" s="66"/>
      <c r="BW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  <c r="BF647" s="66"/>
      <c r="BG647" s="66"/>
      <c r="BH647" s="66"/>
      <c r="BI647" s="66"/>
      <c r="BJ647" s="66"/>
      <c r="BK647" s="66"/>
      <c r="BL647" s="66"/>
      <c r="BM647" s="66"/>
      <c r="BN647" s="66"/>
      <c r="BO647" s="66"/>
      <c r="BP647" s="66"/>
      <c r="BQ647" s="66"/>
      <c r="BR647" s="66"/>
      <c r="BS647" s="66"/>
      <c r="BT647" s="66"/>
      <c r="BU647" s="66"/>
      <c r="BV647" s="66"/>
      <c r="BW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  <c r="BD648" s="66"/>
      <c r="BE648" s="66"/>
      <c r="BF648" s="66"/>
      <c r="BG648" s="66"/>
      <c r="BH648" s="66"/>
      <c r="BI648" s="66"/>
      <c r="BJ648" s="66"/>
      <c r="BK648" s="66"/>
      <c r="BL648" s="66"/>
      <c r="BM648" s="66"/>
      <c r="BN648" s="66"/>
      <c r="BO648" s="66"/>
      <c r="BP648" s="66"/>
      <c r="BQ648" s="66"/>
      <c r="BR648" s="66"/>
      <c r="BS648" s="66"/>
      <c r="BT648" s="66"/>
      <c r="BU648" s="66"/>
      <c r="BV648" s="66"/>
      <c r="BW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  <c r="BF649" s="66"/>
      <c r="BG649" s="66"/>
      <c r="BH649" s="66"/>
      <c r="BI649" s="66"/>
      <c r="BJ649" s="66"/>
      <c r="BK649" s="66"/>
      <c r="BL649" s="66"/>
      <c r="BM649" s="66"/>
      <c r="BN649" s="66"/>
      <c r="BO649" s="66"/>
      <c r="BP649" s="66"/>
      <c r="BQ649" s="66"/>
      <c r="BR649" s="66"/>
      <c r="BS649" s="66"/>
      <c r="BT649" s="66"/>
      <c r="BU649" s="66"/>
      <c r="BV649" s="66"/>
      <c r="BW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  <c r="BF650" s="66"/>
      <c r="BG650" s="66"/>
      <c r="BH650" s="66"/>
      <c r="BI650" s="66"/>
      <c r="BJ650" s="66"/>
      <c r="BK650" s="66"/>
      <c r="BL650" s="66"/>
      <c r="BM650" s="66"/>
      <c r="BN650" s="66"/>
      <c r="BO650" s="66"/>
      <c r="BP650" s="66"/>
      <c r="BQ650" s="66"/>
      <c r="BR650" s="66"/>
      <c r="BS650" s="66"/>
      <c r="BT650" s="66"/>
      <c r="BU650" s="66"/>
      <c r="BV650" s="66"/>
      <c r="BW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  <c r="BF651" s="66"/>
      <c r="BG651" s="66"/>
      <c r="BH651" s="66"/>
      <c r="BI651" s="66"/>
      <c r="BJ651" s="66"/>
      <c r="BK651" s="66"/>
      <c r="BL651" s="66"/>
      <c r="BM651" s="66"/>
      <c r="BN651" s="66"/>
      <c r="BO651" s="66"/>
      <c r="BP651" s="66"/>
      <c r="BQ651" s="66"/>
      <c r="BR651" s="66"/>
      <c r="BS651" s="66"/>
      <c r="BT651" s="66"/>
      <c r="BU651" s="66"/>
      <c r="BV651" s="66"/>
      <c r="BW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  <c r="BF652" s="66"/>
      <c r="BG652" s="66"/>
      <c r="BH652" s="66"/>
      <c r="BI652" s="66"/>
      <c r="BJ652" s="66"/>
      <c r="BK652" s="66"/>
      <c r="BL652" s="66"/>
      <c r="BM652" s="66"/>
      <c r="BN652" s="66"/>
      <c r="BO652" s="66"/>
      <c r="BP652" s="66"/>
      <c r="BQ652" s="66"/>
      <c r="BR652" s="66"/>
      <c r="BS652" s="66"/>
      <c r="BT652" s="66"/>
      <c r="BU652" s="66"/>
      <c r="BV652" s="66"/>
      <c r="BW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  <c r="BF653" s="66"/>
      <c r="BG653" s="66"/>
      <c r="BH653" s="66"/>
      <c r="BI653" s="66"/>
      <c r="BJ653" s="66"/>
      <c r="BK653" s="66"/>
      <c r="BL653" s="66"/>
      <c r="BM653" s="66"/>
      <c r="BN653" s="66"/>
      <c r="BO653" s="66"/>
      <c r="BP653" s="66"/>
      <c r="BQ653" s="66"/>
      <c r="BR653" s="66"/>
      <c r="BS653" s="66"/>
      <c r="BT653" s="66"/>
      <c r="BU653" s="66"/>
      <c r="BV653" s="66"/>
      <c r="BW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  <c r="BF654" s="66"/>
      <c r="BG654" s="66"/>
      <c r="BH654" s="66"/>
      <c r="BI654" s="66"/>
      <c r="BJ654" s="66"/>
      <c r="BK654" s="66"/>
      <c r="BL654" s="66"/>
      <c r="BM654" s="66"/>
      <c r="BN654" s="66"/>
      <c r="BO654" s="66"/>
      <c r="BP654" s="66"/>
      <c r="BQ654" s="66"/>
      <c r="BR654" s="66"/>
      <c r="BS654" s="66"/>
      <c r="BT654" s="66"/>
      <c r="BU654" s="66"/>
      <c r="BV654" s="66"/>
      <c r="BW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  <c r="BD655" s="66"/>
      <c r="BE655" s="66"/>
      <c r="BF655" s="66"/>
      <c r="BG655" s="66"/>
      <c r="BH655" s="66"/>
      <c r="BI655" s="66"/>
      <c r="BJ655" s="66"/>
      <c r="BK655" s="66"/>
      <c r="BL655" s="66"/>
      <c r="BM655" s="66"/>
      <c r="BN655" s="66"/>
      <c r="BO655" s="66"/>
      <c r="BP655" s="66"/>
      <c r="BQ655" s="66"/>
      <c r="BR655" s="66"/>
      <c r="BS655" s="66"/>
      <c r="BT655" s="66"/>
      <c r="BU655" s="66"/>
      <c r="BV655" s="66"/>
      <c r="BW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6"/>
      <c r="BH656" s="66"/>
      <c r="BI656" s="66"/>
      <c r="BJ656" s="66"/>
      <c r="BK656" s="66"/>
      <c r="BL656" s="66"/>
      <c r="BM656" s="66"/>
      <c r="BN656" s="66"/>
      <c r="BO656" s="66"/>
      <c r="BP656" s="66"/>
      <c r="BQ656" s="66"/>
      <c r="BR656" s="66"/>
      <c r="BS656" s="66"/>
      <c r="BT656" s="66"/>
      <c r="BU656" s="66"/>
      <c r="BV656" s="66"/>
      <c r="BW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/>
      <c r="BJ657" s="66"/>
      <c r="BK657" s="66"/>
      <c r="BL657" s="66"/>
      <c r="BM657" s="66"/>
      <c r="BN657" s="66"/>
      <c r="BO657" s="66"/>
      <c r="BP657" s="66"/>
      <c r="BQ657" s="66"/>
      <c r="BR657" s="66"/>
      <c r="BS657" s="66"/>
      <c r="BT657" s="66"/>
      <c r="BU657" s="66"/>
      <c r="BV657" s="66"/>
      <c r="BW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  <c r="BD658" s="66"/>
      <c r="BE658" s="66"/>
      <c r="BF658" s="66"/>
      <c r="BG658" s="66"/>
      <c r="BH658" s="66"/>
      <c r="BI658" s="66"/>
      <c r="BJ658" s="66"/>
      <c r="BK658" s="66"/>
      <c r="BL658" s="66"/>
      <c r="BM658" s="66"/>
      <c r="BN658" s="66"/>
      <c r="BO658" s="66"/>
      <c r="BP658" s="66"/>
      <c r="BQ658" s="66"/>
      <c r="BR658" s="66"/>
      <c r="BS658" s="66"/>
      <c r="BT658" s="66"/>
      <c r="BU658" s="66"/>
      <c r="BV658" s="66"/>
      <c r="BW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  <c r="BD659" s="66"/>
      <c r="BE659" s="66"/>
      <c r="BF659" s="66"/>
      <c r="BG659" s="66"/>
      <c r="BH659" s="66"/>
      <c r="BI659" s="66"/>
      <c r="BJ659" s="66"/>
      <c r="BK659" s="66"/>
      <c r="BL659" s="66"/>
      <c r="BM659" s="66"/>
      <c r="BN659" s="66"/>
      <c r="BO659" s="66"/>
      <c r="BP659" s="66"/>
      <c r="BQ659" s="66"/>
      <c r="BR659" s="66"/>
      <c r="BS659" s="66"/>
      <c r="BT659" s="66"/>
      <c r="BU659" s="66"/>
      <c r="BV659" s="66"/>
      <c r="BW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  <c r="BD660" s="66"/>
      <c r="BE660" s="66"/>
      <c r="BF660" s="66"/>
      <c r="BG660" s="66"/>
      <c r="BH660" s="66"/>
      <c r="BI660" s="66"/>
      <c r="BJ660" s="66"/>
      <c r="BK660" s="66"/>
      <c r="BL660" s="66"/>
      <c r="BM660" s="66"/>
      <c r="BN660" s="66"/>
      <c r="BO660" s="66"/>
      <c r="BP660" s="66"/>
      <c r="BQ660" s="66"/>
      <c r="BR660" s="66"/>
      <c r="BS660" s="66"/>
      <c r="BT660" s="66"/>
      <c r="BU660" s="66"/>
      <c r="BV660" s="66"/>
      <c r="BW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  <c r="BF661" s="66"/>
      <c r="BG661" s="66"/>
      <c r="BH661" s="66"/>
      <c r="BI661" s="66"/>
      <c r="BJ661" s="66"/>
      <c r="BK661" s="66"/>
      <c r="BL661" s="66"/>
      <c r="BM661" s="66"/>
      <c r="BN661" s="66"/>
      <c r="BO661" s="66"/>
      <c r="BP661" s="66"/>
      <c r="BQ661" s="66"/>
      <c r="BR661" s="66"/>
      <c r="BS661" s="66"/>
      <c r="BT661" s="66"/>
      <c r="BU661" s="66"/>
      <c r="BV661" s="66"/>
      <c r="BW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  <c r="BD662" s="66"/>
      <c r="BE662" s="66"/>
      <c r="BF662" s="66"/>
      <c r="BG662" s="66"/>
      <c r="BH662" s="66"/>
      <c r="BI662" s="66"/>
      <c r="BJ662" s="66"/>
      <c r="BK662" s="66"/>
      <c r="BL662" s="66"/>
      <c r="BM662" s="66"/>
      <c r="BN662" s="66"/>
      <c r="BO662" s="66"/>
      <c r="BP662" s="66"/>
      <c r="BQ662" s="66"/>
      <c r="BR662" s="66"/>
      <c r="BS662" s="66"/>
      <c r="BT662" s="66"/>
      <c r="BU662" s="66"/>
      <c r="BV662" s="66"/>
      <c r="BW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  <c r="BF663" s="66"/>
      <c r="BG663" s="66"/>
      <c r="BH663" s="66"/>
      <c r="BI663" s="66"/>
      <c r="BJ663" s="66"/>
      <c r="BK663" s="66"/>
      <c r="BL663" s="66"/>
      <c r="BM663" s="66"/>
      <c r="BN663" s="66"/>
      <c r="BO663" s="66"/>
      <c r="BP663" s="66"/>
      <c r="BQ663" s="66"/>
      <c r="BR663" s="66"/>
      <c r="BS663" s="66"/>
      <c r="BT663" s="66"/>
      <c r="BU663" s="66"/>
      <c r="BV663" s="66"/>
      <c r="BW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  <c r="BF664" s="66"/>
      <c r="BG664" s="66"/>
      <c r="BH664" s="66"/>
      <c r="BI664" s="66"/>
      <c r="BJ664" s="66"/>
      <c r="BK664" s="66"/>
      <c r="BL664" s="66"/>
      <c r="BM664" s="66"/>
      <c r="BN664" s="66"/>
      <c r="BO664" s="66"/>
      <c r="BP664" s="66"/>
      <c r="BQ664" s="66"/>
      <c r="BR664" s="66"/>
      <c r="BS664" s="66"/>
      <c r="BT664" s="66"/>
      <c r="BU664" s="66"/>
      <c r="BV664" s="66"/>
      <c r="BW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  <c r="BF665" s="66"/>
      <c r="BG665" s="66"/>
      <c r="BH665" s="66"/>
      <c r="BI665" s="66"/>
      <c r="BJ665" s="66"/>
      <c r="BK665" s="66"/>
      <c r="BL665" s="66"/>
      <c r="BM665" s="66"/>
      <c r="BN665" s="66"/>
      <c r="BO665" s="66"/>
      <c r="BP665" s="66"/>
      <c r="BQ665" s="66"/>
      <c r="BR665" s="66"/>
      <c r="BS665" s="66"/>
      <c r="BT665" s="66"/>
      <c r="BU665" s="66"/>
      <c r="BV665" s="66"/>
      <c r="BW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  <c r="BF666" s="66"/>
      <c r="BG666" s="66"/>
      <c r="BH666" s="66"/>
      <c r="BI666" s="66"/>
      <c r="BJ666" s="66"/>
      <c r="BK666" s="66"/>
      <c r="BL666" s="66"/>
      <c r="BM666" s="66"/>
      <c r="BN666" s="66"/>
      <c r="BO666" s="66"/>
      <c r="BP666" s="66"/>
      <c r="BQ666" s="66"/>
      <c r="BR666" s="66"/>
      <c r="BS666" s="66"/>
      <c r="BT666" s="66"/>
      <c r="BU666" s="66"/>
      <c r="BV666" s="66"/>
      <c r="BW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  <c r="BF667" s="66"/>
      <c r="BG667" s="66"/>
      <c r="BH667" s="66"/>
      <c r="BI667" s="66"/>
      <c r="BJ667" s="66"/>
      <c r="BK667" s="66"/>
      <c r="BL667" s="66"/>
      <c r="BM667" s="66"/>
      <c r="BN667" s="66"/>
      <c r="BO667" s="66"/>
      <c r="BP667" s="66"/>
      <c r="BQ667" s="66"/>
      <c r="BR667" s="66"/>
      <c r="BS667" s="66"/>
      <c r="BT667" s="66"/>
      <c r="BU667" s="66"/>
      <c r="BV667" s="66"/>
      <c r="BW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  <c r="BF668" s="66"/>
      <c r="BG668" s="66"/>
      <c r="BH668" s="66"/>
      <c r="BI668" s="66"/>
      <c r="BJ668" s="66"/>
      <c r="BK668" s="66"/>
      <c r="BL668" s="66"/>
      <c r="BM668" s="66"/>
      <c r="BN668" s="66"/>
      <c r="BO668" s="66"/>
      <c r="BP668" s="66"/>
      <c r="BQ668" s="66"/>
      <c r="BR668" s="66"/>
      <c r="BS668" s="66"/>
      <c r="BT668" s="66"/>
      <c r="BU668" s="66"/>
      <c r="BV668" s="66"/>
      <c r="BW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  <c r="BD669" s="66"/>
      <c r="BE669" s="66"/>
      <c r="BF669" s="66"/>
      <c r="BG669" s="66"/>
      <c r="BH669" s="66"/>
      <c r="BI669" s="66"/>
      <c r="BJ669" s="66"/>
      <c r="BK669" s="66"/>
      <c r="BL669" s="66"/>
      <c r="BM669" s="66"/>
      <c r="BN669" s="66"/>
      <c r="BO669" s="66"/>
      <c r="BP669" s="66"/>
      <c r="BQ669" s="66"/>
      <c r="BR669" s="66"/>
      <c r="BS669" s="66"/>
      <c r="BT669" s="66"/>
      <c r="BU669" s="66"/>
      <c r="BV669" s="66"/>
      <c r="BW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  <c r="BD670" s="66"/>
      <c r="BE670" s="66"/>
      <c r="BF670" s="66"/>
      <c r="BG670" s="66"/>
      <c r="BH670" s="66"/>
      <c r="BI670" s="66"/>
      <c r="BJ670" s="66"/>
      <c r="BK670" s="66"/>
      <c r="BL670" s="66"/>
      <c r="BM670" s="66"/>
      <c r="BN670" s="66"/>
      <c r="BO670" s="66"/>
      <c r="BP670" s="66"/>
      <c r="BQ670" s="66"/>
      <c r="BR670" s="66"/>
      <c r="BS670" s="66"/>
      <c r="BT670" s="66"/>
      <c r="BU670" s="66"/>
      <c r="BV670" s="66"/>
      <c r="BW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  <c r="BF671" s="66"/>
      <c r="BG671" s="66"/>
      <c r="BH671" s="66"/>
      <c r="BI671" s="66"/>
      <c r="BJ671" s="66"/>
      <c r="BK671" s="66"/>
      <c r="BL671" s="66"/>
      <c r="BM671" s="66"/>
      <c r="BN671" s="66"/>
      <c r="BO671" s="66"/>
      <c r="BP671" s="66"/>
      <c r="BQ671" s="66"/>
      <c r="BR671" s="66"/>
      <c r="BS671" s="66"/>
      <c r="BT671" s="66"/>
      <c r="BU671" s="66"/>
      <c r="BV671" s="66"/>
      <c r="BW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  <c r="BD672" s="66"/>
      <c r="BE672" s="66"/>
      <c r="BF672" s="66"/>
      <c r="BG672" s="66"/>
      <c r="BH672" s="66"/>
      <c r="BI672" s="66"/>
      <c r="BJ672" s="66"/>
      <c r="BK672" s="66"/>
      <c r="BL672" s="66"/>
      <c r="BM672" s="66"/>
      <c r="BN672" s="66"/>
      <c r="BO672" s="66"/>
      <c r="BP672" s="66"/>
      <c r="BQ672" s="66"/>
      <c r="BR672" s="66"/>
      <c r="BS672" s="66"/>
      <c r="BT672" s="66"/>
      <c r="BU672" s="66"/>
      <c r="BV672" s="66"/>
      <c r="BW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  <c r="BF673" s="66"/>
      <c r="BG673" s="66"/>
      <c r="BH673" s="66"/>
      <c r="BI673" s="66"/>
      <c r="BJ673" s="66"/>
      <c r="BK673" s="66"/>
      <c r="BL673" s="66"/>
      <c r="BM673" s="66"/>
      <c r="BN673" s="66"/>
      <c r="BO673" s="66"/>
      <c r="BP673" s="66"/>
      <c r="BQ673" s="66"/>
      <c r="BR673" s="66"/>
      <c r="BS673" s="66"/>
      <c r="BT673" s="66"/>
      <c r="BU673" s="66"/>
      <c r="BV673" s="66"/>
      <c r="BW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  <c r="BD674" s="66"/>
      <c r="BE674" s="66"/>
      <c r="BF674" s="66"/>
      <c r="BG674" s="66"/>
      <c r="BH674" s="66"/>
      <c r="BI674" s="66"/>
      <c r="BJ674" s="66"/>
      <c r="BK674" s="66"/>
      <c r="BL674" s="66"/>
      <c r="BM674" s="66"/>
      <c r="BN674" s="66"/>
      <c r="BO674" s="66"/>
      <c r="BP674" s="66"/>
      <c r="BQ674" s="66"/>
      <c r="BR674" s="66"/>
      <c r="BS674" s="66"/>
      <c r="BT674" s="66"/>
      <c r="BU674" s="66"/>
      <c r="BV674" s="66"/>
      <c r="BW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  <c r="BF675" s="66"/>
      <c r="BG675" s="66"/>
      <c r="BH675" s="66"/>
      <c r="BI675" s="66"/>
      <c r="BJ675" s="66"/>
      <c r="BK675" s="66"/>
      <c r="BL675" s="66"/>
      <c r="BM675" s="66"/>
      <c r="BN675" s="66"/>
      <c r="BO675" s="66"/>
      <c r="BP675" s="66"/>
      <c r="BQ675" s="66"/>
      <c r="BR675" s="66"/>
      <c r="BS675" s="66"/>
      <c r="BT675" s="66"/>
      <c r="BU675" s="66"/>
      <c r="BV675" s="66"/>
      <c r="BW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  <c r="BF676" s="66"/>
      <c r="BG676" s="66"/>
      <c r="BH676" s="66"/>
      <c r="BI676" s="66"/>
      <c r="BJ676" s="66"/>
      <c r="BK676" s="66"/>
      <c r="BL676" s="66"/>
      <c r="BM676" s="66"/>
      <c r="BN676" s="66"/>
      <c r="BO676" s="66"/>
      <c r="BP676" s="66"/>
      <c r="BQ676" s="66"/>
      <c r="BR676" s="66"/>
      <c r="BS676" s="66"/>
      <c r="BT676" s="66"/>
      <c r="BU676" s="66"/>
      <c r="BV676" s="66"/>
      <c r="BW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  <c r="BF677" s="66"/>
      <c r="BG677" s="66"/>
      <c r="BH677" s="66"/>
      <c r="BI677" s="66"/>
      <c r="BJ677" s="66"/>
      <c r="BK677" s="66"/>
      <c r="BL677" s="66"/>
      <c r="BM677" s="66"/>
      <c r="BN677" s="66"/>
      <c r="BO677" s="66"/>
      <c r="BP677" s="66"/>
      <c r="BQ677" s="66"/>
      <c r="BR677" s="66"/>
      <c r="BS677" s="66"/>
      <c r="BT677" s="66"/>
      <c r="BU677" s="66"/>
      <c r="BV677" s="66"/>
      <c r="BW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  <c r="BD678" s="66"/>
      <c r="BE678" s="66"/>
      <c r="BF678" s="66"/>
      <c r="BG678" s="66"/>
      <c r="BH678" s="66"/>
      <c r="BI678" s="66"/>
      <c r="BJ678" s="66"/>
      <c r="BK678" s="66"/>
      <c r="BL678" s="66"/>
      <c r="BM678" s="66"/>
      <c r="BN678" s="66"/>
      <c r="BO678" s="66"/>
      <c r="BP678" s="66"/>
      <c r="BQ678" s="66"/>
      <c r="BR678" s="66"/>
      <c r="BS678" s="66"/>
      <c r="BT678" s="66"/>
      <c r="BU678" s="66"/>
      <c r="BV678" s="66"/>
      <c r="BW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  <c r="BD679" s="66"/>
      <c r="BE679" s="66"/>
      <c r="BF679" s="66"/>
      <c r="BG679" s="66"/>
      <c r="BH679" s="66"/>
      <c r="BI679" s="66"/>
      <c r="BJ679" s="66"/>
      <c r="BK679" s="66"/>
      <c r="BL679" s="66"/>
      <c r="BM679" s="66"/>
      <c r="BN679" s="66"/>
      <c r="BO679" s="66"/>
      <c r="BP679" s="66"/>
      <c r="BQ679" s="66"/>
      <c r="BR679" s="66"/>
      <c r="BS679" s="66"/>
      <c r="BT679" s="66"/>
      <c r="BU679" s="66"/>
      <c r="BV679" s="66"/>
      <c r="BW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  <c r="BF680" s="66"/>
      <c r="BG680" s="66"/>
      <c r="BH680" s="66"/>
      <c r="BI680" s="66"/>
      <c r="BJ680" s="66"/>
      <c r="BK680" s="66"/>
      <c r="BL680" s="66"/>
      <c r="BM680" s="66"/>
      <c r="BN680" s="66"/>
      <c r="BO680" s="66"/>
      <c r="BP680" s="66"/>
      <c r="BQ680" s="66"/>
      <c r="BR680" s="66"/>
      <c r="BS680" s="66"/>
      <c r="BT680" s="66"/>
      <c r="BU680" s="66"/>
      <c r="BV680" s="66"/>
      <c r="BW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  <c r="BF681" s="66"/>
      <c r="BG681" s="66"/>
      <c r="BH681" s="66"/>
      <c r="BI681" s="66"/>
      <c r="BJ681" s="66"/>
      <c r="BK681" s="66"/>
      <c r="BL681" s="66"/>
      <c r="BM681" s="66"/>
      <c r="BN681" s="66"/>
      <c r="BO681" s="66"/>
      <c r="BP681" s="66"/>
      <c r="BQ681" s="66"/>
      <c r="BR681" s="66"/>
      <c r="BS681" s="66"/>
      <c r="BT681" s="66"/>
      <c r="BU681" s="66"/>
      <c r="BV681" s="66"/>
      <c r="BW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  <c r="BF682" s="66"/>
      <c r="BG682" s="66"/>
      <c r="BH682" s="66"/>
      <c r="BI682" s="66"/>
      <c r="BJ682" s="66"/>
      <c r="BK682" s="66"/>
      <c r="BL682" s="66"/>
      <c r="BM682" s="66"/>
      <c r="BN682" s="66"/>
      <c r="BO682" s="66"/>
      <c r="BP682" s="66"/>
      <c r="BQ682" s="66"/>
      <c r="BR682" s="66"/>
      <c r="BS682" s="66"/>
      <c r="BT682" s="66"/>
      <c r="BU682" s="66"/>
      <c r="BV682" s="66"/>
      <c r="BW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  <c r="BF683" s="66"/>
      <c r="BG683" s="66"/>
      <c r="BH683" s="66"/>
      <c r="BI683" s="66"/>
      <c r="BJ683" s="66"/>
      <c r="BK683" s="66"/>
      <c r="BL683" s="66"/>
      <c r="BM683" s="66"/>
      <c r="BN683" s="66"/>
      <c r="BO683" s="66"/>
      <c r="BP683" s="66"/>
      <c r="BQ683" s="66"/>
      <c r="BR683" s="66"/>
      <c r="BS683" s="66"/>
      <c r="BT683" s="66"/>
      <c r="BU683" s="66"/>
      <c r="BV683" s="66"/>
      <c r="BW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  <c r="BD684" s="66"/>
      <c r="BE684" s="66"/>
      <c r="BF684" s="66"/>
      <c r="BG684" s="66"/>
      <c r="BH684" s="66"/>
      <c r="BI684" s="66"/>
      <c r="BJ684" s="66"/>
      <c r="BK684" s="66"/>
      <c r="BL684" s="66"/>
      <c r="BM684" s="66"/>
      <c r="BN684" s="66"/>
      <c r="BO684" s="66"/>
      <c r="BP684" s="66"/>
      <c r="BQ684" s="66"/>
      <c r="BR684" s="66"/>
      <c r="BS684" s="66"/>
      <c r="BT684" s="66"/>
      <c r="BU684" s="66"/>
      <c r="BV684" s="66"/>
      <c r="BW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  <c r="BF685" s="66"/>
      <c r="BG685" s="66"/>
      <c r="BH685" s="66"/>
      <c r="BI685" s="66"/>
      <c r="BJ685" s="66"/>
      <c r="BK685" s="66"/>
      <c r="BL685" s="66"/>
      <c r="BM685" s="66"/>
      <c r="BN685" s="66"/>
      <c r="BO685" s="66"/>
      <c r="BP685" s="66"/>
      <c r="BQ685" s="66"/>
      <c r="BR685" s="66"/>
      <c r="BS685" s="66"/>
      <c r="BT685" s="66"/>
      <c r="BU685" s="66"/>
      <c r="BV685" s="66"/>
      <c r="BW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/>
      <c r="BJ686" s="66"/>
      <c r="BK686" s="66"/>
      <c r="BL686" s="66"/>
      <c r="BM686" s="66"/>
      <c r="BN686" s="66"/>
      <c r="BO686" s="66"/>
      <c r="BP686" s="66"/>
      <c r="BQ686" s="66"/>
      <c r="BR686" s="66"/>
      <c r="BS686" s="66"/>
      <c r="BT686" s="66"/>
      <c r="BU686" s="66"/>
      <c r="BV686" s="66"/>
      <c r="BW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  <c r="BD687" s="66"/>
      <c r="BE687" s="66"/>
      <c r="BF687" s="66"/>
      <c r="BG687" s="66"/>
      <c r="BH687" s="66"/>
      <c r="BI687" s="66"/>
      <c r="BJ687" s="66"/>
      <c r="BK687" s="66"/>
      <c r="BL687" s="66"/>
      <c r="BM687" s="66"/>
      <c r="BN687" s="66"/>
      <c r="BO687" s="66"/>
      <c r="BP687" s="66"/>
      <c r="BQ687" s="66"/>
      <c r="BR687" s="66"/>
      <c r="BS687" s="66"/>
      <c r="BT687" s="66"/>
      <c r="BU687" s="66"/>
      <c r="BV687" s="66"/>
      <c r="BW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  <c r="BF688" s="66"/>
      <c r="BG688" s="66"/>
      <c r="BH688" s="66"/>
      <c r="BI688" s="66"/>
      <c r="BJ688" s="66"/>
      <c r="BK688" s="66"/>
      <c r="BL688" s="66"/>
      <c r="BM688" s="66"/>
      <c r="BN688" s="66"/>
      <c r="BO688" s="66"/>
      <c r="BP688" s="66"/>
      <c r="BQ688" s="66"/>
      <c r="BR688" s="66"/>
      <c r="BS688" s="66"/>
      <c r="BT688" s="66"/>
      <c r="BU688" s="66"/>
      <c r="BV688" s="66"/>
      <c r="BW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  <c r="BF689" s="66"/>
      <c r="BG689" s="66"/>
      <c r="BH689" s="66"/>
      <c r="BI689" s="66"/>
      <c r="BJ689" s="66"/>
      <c r="BK689" s="66"/>
      <c r="BL689" s="66"/>
      <c r="BM689" s="66"/>
      <c r="BN689" s="66"/>
      <c r="BO689" s="66"/>
      <c r="BP689" s="66"/>
      <c r="BQ689" s="66"/>
      <c r="BR689" s="66"/>
      <c r="BS689" s="66"/>
      <c r="BT689" s="66"/>
      <c r="BU689" s="66"/>
      <c r="BV689" s="66"/>
      <c r="BW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  <c r="BF690" s="66"/>
      <c r="BG690" s="66"/>
      <c r="BH690" s="66"/>
      <c r="BI690" s="66"/>
      <c r="BJ690" s="66"/>
      <c r="BK690" s="66"/>
      <c r="BL690" s="66"/>
      <c r="BM690" s="66"/>
      <c r="BN690" s="66"/>
      <c r="BO690" s="66"/>
      <c r="BP690" s="66"/>
      <c r="BQ690" s="66"/>
      <c r="BR690" s="66"/>
      <c r="BS690" s="66"/>
      <c r="BT690" s="66"/>
      <c r="BU690" s="66"/>
      <c r="BV690" s="66"/>
      <c r="BW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  <c r="BF691" s="66"/>
      <c r="BG691" s="66"/>
      <c r="BH691" s="66"/>
      <c r="BI691" s="66"/>
      <c r="BJ691" s="66"/>
      <c r="BK691" s="66"/>
      <c r="BL691" s="66"/>
      <c r="BM691" s="66"/>
      <c r="BN691" s="66"/>
      <c r="BO691" s="66"/>
      <c r="BP691" s="66"/>
      <c r="BQ691" s="66"/>
      <c r="BR691" s="66"/>
      <c r="BS691" s="66"/>
      <c r="BT691" s="66"/>
      <c r="BU691" s="66"/>
      <c r="BV691" s="66"/>
      <c r="BW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  <c r="BD692" s="66"/>
      <c r="BE692" s="66"/>
      <c r="BF692" s="66"/>
      <c r="BG692" s="66"/>
      <c r="BH692" s="66"/>
      <c r="BI692" s="66"/>
      <c r="BJ692" s="66"/>
      <c r="BK692" s="66"/>
      <c r="BL692" s="66"/>
      <c r="BM692" s="66"/>
      <c r="BN692" s="66"/>
      <c r="BO692" s="66"/>
      <c r="BP692" s="66"/>
      <c r="BQ692" s="66"/>
      <c r="BR692" s="66"/>
      <c r="BS692" s="66"/>
      <c r="BT692" s="66"/>
      <c r="BU692" s="66"/>
      <c r="BV692" s="66"/>
      <c r="BW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  <c r="BD693" s="66"/>
      <c r="BE693" s="66"/>
      <c r="BF693" s="66"/>
      <c r="BG693" s="66"/>
      <c r="BH693" s="66"/>
      <c r="BI693" s="66"/>
      <c r="BJ693" s="66"/>
      <c r="BK693" s="66"/>
      <c r="BL693" s="66"/>
      <c r="BM693" s="66"/>
      <c r="BN693" s="66"/>
      <c r="BO693" s="66"/>
      <c r="BP693" s="66"/>
      <c r="BQ693" s="66"/>
      <c r="BR693" s="66"/>
      <c r="BS693" s="66"/>
      <c r="BT693" s="66"/>
      <c r="BU693" s="66"/>
      <c r="BV693" s="66"/>
      <c r="BW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  <c r="BF694" s="66"/>
      <c r="BG694" s="66"/>
      <c r="BH694" s="66"/>
      <c r="BI694" s="66"/>
      <c r="BJ694" s="66"/>
      <c r="BK694" s="66"/>
      <c r="BL694" s="66"/>
      <c r="BM694" s="66"/>
      <c r="BN694" s="66"/>
      <c r="BO694" s="66"/>
      <c r="BP694" s="66"/>
      <c r="BQ694" s="66"/>
      <c r="BR694" s="66"/>
      <c r="BS694" s="66"/>
      <c r="BT694" s="66"/>
      <c r="BU694" s="66"/>
      <c r="BV694" s="66"/>
      <c r="BW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  <c r="BF695" s="66"/>
      <c r="BG695" s="66"/>
      <c r="BH695" s="66"/>
      <c r="BI695" s="66"/>
      <c r="BJ695" s="66"/>
      <c r="BK695" s="66"/>
      <c r="BL695" s="66"/>
      <c r="BM695" s="66"/>
      <c r="BN695" s="66"/>
      <c r="BO695" s="66"/>
      <c r="BP695" s="66"/>
      <c r="BQ695" s="66"/>
      <c r="BR695" s="66"/>
      <c r="BS695" s="66"/>
      <c r="BT695" s="66"/>
      <c r="BU695" s="66"/>
      <c r="BV695" s="66"/>
      <c r="BW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  <c r="BD696" s="66"/>
      <c r="BE696" s="66"/>
      <c r="BF696" s="66"/>
      <c r="BG696" s="66"/>
      <c r="BH696" s="66"/>
      <c r="BI696" s="66"/>
      <c r="BJ696" s="66"/>
      <c r="BK696" s="66"/>
      <c r="BL696" s="66"/>
      <c r="BM696" s="66"/>
      <c r="BN696" s="66"/>
      <c r="BO696" s="66"/>
      <c r="BP696" s="66"/>
      <c r="BQ696" s="66"/>
      <c r="BR696" s="66"/>
      <c r="BS696" s="66"/>
      <c r="BT696" s="66"/>
      <c r="BU696" s="66"/>
      <c r="BV696" s="66"/>
      <c r="BW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  <c r="BF697" s="66"/>
      <c r="BG697" s="66"/>
      <c r="BH697" s="66"/>
      <c r="BI697" s="66"/>
      <c r="BJ697" s="66"/>
      <c r="BK697" s="66"/>
      <c r="BL697" s="66"/>
      <c r="BM697" s="66"/>
      <c r="BN697" s="66"/>
      <c r="BO697" s="66"/>
      <c r="BP697" s="66"/>
      <c r="BQ697" s="66"/>
      <c r="BR697" s="66"/>
      <c r="BS697" s="66"/>
      <c r="BT697" s="66"/>
      <c r="BU697" s="66"/>
      <c r="BV697" s="66"/>
      <c r="BW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  <c r="BD698" s="66"/>
      <c r="BE698" s="66"/>
      <c r="BF698" s="66"/>
      <c r="BG698" s="66"/>
      <c r="BH698" s="66"/>
      <c r="BI698" s="66"/>
      <c r="BJ698" s="66"/>
      <c r="BK698" s="66"/>
      <c r="BL698" s="66"/>
      <c r="BM698" s="66"/>
      <c r="BN698" s="66"/>
      <c r="BO698" s="66"/>
      <c r="BP698" s="66"/>
      <c r="BQ698" s="66"/>
      <c r="BR698" s="66"/>
      <c r="BS698" s="66"/>
      <c r="BT698" s="66"/>
      <c r="BU698" s="66"/>
      <c r="BV698" s="66"/>
      <c r="BW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  <c r="BF699" s="66"/>
      <c r="BG699" s="66"/>
      <c r="BH699" s="66"/>
      <c r="BI699" s="66"/>
      <c r="BJ699" s="66"/>
      <c r="BK699" s="66"/>
      <c r="BL699" s="66"/>
      <c r="BM699" s="66"/>
      <c r="BN699" s="66"/>
      <c r="BO699" s="66"/>
      <c r="BP699" s="66"/>
      <c r="BQ699" s="66"/>
      <c r="BR699" s="66"/>
      <c r="BS699" s="66"/>
      <c r="BT699" s="66"/>
      <c r="BU699" s="66"/>
      <c r="BV699" s="66"/>
      <c r="BW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  <c r="BD700" s="66"/>
      <c r="BE700" s="66"/>
      <c r="BF700" s="66"/>
      <c r="BG700" s="66"/>
      <c r="BH700" s="66"/>
      <c r="BI700" s="66"/>
      <c r="BJ700" s="66"/>
      <c r="BK700" s="66"/>
      <c r="BL700" s="66"/>
      <c r="BM700" s="66"/>
      <c r="BN700" s="66"/>
      <c r="BO700" s="66"/>
      <c r="BP700" s="66"/>
      <c r="BQ700" s="66"/>
      <c r="BR700" s="66"/>
      <c r="BS700" s="66"/>
      <c r="BT700" s="66"/>
      <c r="BU700" s="66"/>
      <c r="BV700" s="66"/>
      <c r="BW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  <c r="BD701" s="66"/>
      <c r="BE701" s="66"/>
      <c r="BF701" s="66"/>
      <c r="BG701" s="66"/>
      <c r="BH701" s="66"/>
      <c r="BI701" s="66"/>
      <c r="BJ701" s="66"/>
      <c r="BK701" s="66"/>
      <c r="BL701" s="66"/>
      <c r="BM701" s="66"/>
      <c r="BN701" s="66"/>
      <c r="BO701" s="66"/>
      <c r="BP701" s="66"/>
      <c r="BQ701" s="66"/>
      <c r="BR701" s="66"/>
      <c r="BS701" s="66"/>
      <c r="BT701" s="66"/>
      <c r="BU701" s="66"/>
      <c r="BV701" s="66"/>
      <c r="BW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  <c r="BF702" s="66"/>
      <c r="BG702" s="66"/>
      <c r="BH702" s="66"/>
      <c r="BI702" s="66"/>
      <c r="BJ702" s="66"/>
      <c r="BK702" s="66"/>
      <c r="BL702" s="66"/>
      <c r="BM702" s="66"/>
      <c r="BN702" s="66"/>
      <c r="BO702" s="66"/>
      <c r="BP702" s="66"/>
      <c r="BQ702" s="66"/>
      <c r="BR702" s="66"/>
      <c r="BS702" s="66"/>
      <c r="BT702" s="66"/>
      <c r="BU702" s="66"/>
      <c r="BV702" s="66"/>
      <c r="BW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  <c r="BD703" s="66"/>
      <c r="BE703" s="66"/>
      <c r="BF703" s="66"/>
      <c r="BG703" s="66"/>
      <c r="BH703" s="66"/>
      <c r="BI703" s="66"/>
      <c r="BJ703" s="66"/>
      <c r="BK703" s="66"/>
      <c r="BL703" s="66"/>
      <c r="BM703" s="66"/>
      <c r="BN703" s="66"/>
      <c r="BO703" s="66"/>
      <c r="BP703" s="66"/>
      <c r="BQ703" s="66"/>
      <c r="BR703" s="66"/>
      <c r="BS703" s="66"/>
      <c r="BT703" s="66"/>
      <c r="BU703" s="66"/>
      <c r="BV703" s="66"/>
      <c r="BW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/>
      <c r="BJ704" s="66"/>
      <c r="BK704" s="66"/>
      <c r="BL704" s="66"/>
      <c r="BM704" s="66"/>
      <c r="BN704" s="66"/>
      <c r="BO704" s="66"/>
      <c r="BP704" s="66"/>
      <c r="BQ704" s="66"/>
      <c r="BR704" s="66"/>
      <c r="BS704" s="66"/>
      <c r="BT704" s="66"/>
      <c r="BU704" s="66"/>
      <c r="BV704" s="66"/>
      <c r="BW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/>
      <c r="BJ705" s="66"/>
      <c r="BK705" s="66"/>
      <c r="BL705" s="66"/>
      <c r="BM705" s="66"/>
      <c r="BN705" s="66"/>
      <c r="BO705" s="66"/>
      <c r="BP705" s="66"/>
      <c r="BQ705" s="66"/>
      <c r="BR705" s="66"/>
      <c r="BS705" s="66"/>
      <c r="BT705" s="66"/>
      <c r="BU705" s="66"/>
      <c r="BV705" s="66"/>
      <c r="BW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/>
      <c r="BJ706" s="66"/>
      <c r="BK706" s="66"/>
      <c r="BL706" s="66"/>
      <c r="BM706" s="66"/>
      <c r="BN706" s="66"/>
      <c r="BO706" s="66"/>
      <c r="BP706" s="66"/>
      <c r="BQ706" s="66"/>
      <c r="BR706" s="66"/>
      <c r="BS706" s="66"/>
      <c r="BT706" s="66"/>
      <c r="BU706" s="66"/>
      <c r="BV706" s="66"/>
      <c r="BW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  <c r="BF707" s="66"/>
      <c r="BG707" s="66"/>
      <c r="BH707" s="66"/>
      <c r="BI707" s="66"/>
      <c r="BJ707" s="66"/>
      <c r="BK707" s="66"/>
      <c r="BL707" s="66"/>
      <c r="BM707" s="66"/>
      <c r="BN707" s="66"/>
      <c r="BO707" s="66"/>
      <c r="BP707" s="66"/>
      <c r="BQ707" s="66"/>
      <c r="BR707" s="66"/>
      <c r="BS707" s="66"/>
      <c r="BT707" s="66"/>
      <c r="BU707" s="66"/>
      <c r="BV707" s="66"/>
      <c r="BW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/>
      <c r="BJ708" s="66"/>
      <c r="BK708" s="66"/>
      <c r="BL708" s="66"/>
      <c r="BM708" s="66"/>
      <c r="BN708" s="66"/>
      <c r="BO708" s="66"/>
      <c r="BP708" s="66"/>
      <c r="BQ708" s="66"/>
      <c r="BR708" s="66"/>
      <c r="BS708" s="66"/>
      <c r="BT708" s="66"/>
      <c r="BU708" s="66"/>
      <c r="BV708" s="66"/>
      <c r="BW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  <c r="BF709" s="66"/>
      <c r="BG709" s="66"/>
      <c r="BH709" s="66"/>
      <c r="BI709" s="66"/>
      <c r="BJ709" s="66"/>
      <c r="BK709" s="66"/>
      <c r="BL709" s="66"/>
      <c r="BM709" s="66"/>
      <c r="BN709" s="66"/>
      <c r="BO709" s="66"/>
      <c r="BP709" s="66"/>
      <c r="BQ709" s="66"/>
      <c r="BR709" s="66"/>
      <c r="BS709" s="66"/>
      <c r="BT709" s="66"/>
      <c r="BU709" s="66"/>
      <c r="BV709" s="66"/>
      <c r="BW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/>
      <c r="BJ710" s="66"/>
      <c r="BK710" s="66"/>
      <c r="BL710" s="66"/>
      <c r="BM710" s="66"/>
      <c r="BN710" s="66"/>
      <c r="BO710" s="66"/>
      <c r="BP710" s="66"/>
      <c r="BQ710" s="66"/>
      <c r="BR710" s="66"/>
      <c r="BS710" s="66"/>
      <c r="BT710" s="66"/>
      <c r="BU710" s="66"/>
      <c r="BV710" s="66"/>
      <c r="BW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  <c r="BF711" s="66"/>
      <c r="BG711" s="66"/>
      <c r="BH711" s="66"/>
      <c r="BI711" s="66"/>
      <c r="BJ711" s="66"/>
      <c r="BK711" s="66"/>
      <c r="BL711" s="66"/>
      <c r="BM711" s="66"/>
      <c r="BN711" s="66"/>
      <c r="BO711" s="66"/>
      <c r="BP711" s="66"/>
      <c r="BQ711" s="66"/>
      <c r="BR711" s="66"/>
      <c r="BS711" s="66"/>
      <c r="BT711" s="66"/>
      <c r="BU711" s="66"/>
      <c r="BV711" s="66"/>
      <c r="BW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/>
      <c r="BJ712" s="66"/>
      <c r="BK712" s="66"/>
      <c r="BL712" s="66"/>
      <c r="BM712" s="66"/>
      <c r="BN712" s="66"/>
      <c r="BO712" s="66"/>
      <c r="BP712" s="66"/>
      <c r="BQ712" s="66"/>
      <c r="BR712" s="66"/>
      <c r="BS712" s="66"/>
      <c r="BT712" s="66"/>
      <c r="BU712" s="66"/>
      <c r="BV712" s="66"/>
      <c r="BW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  <c r="BF713" s="66"/>
      <c r="BG713" s="66"/>
      <c r="BH713" s="66"/>
      <c r="BI713" s="66"/>
      <c r="BJ713" s="66"/>
      <c r="BK713" s="66"/>
      <c r="BL713" s="66"/>
      <c r="BM713" s="66"/>
      <c r="BN713" s="66"/>
      <c r="BO713" s="66"/>
      <c r="BP713" s="66"/>
      <c r="BQ713" s="66"/>
      <c r="BR713" s="66"/>
      <c r="BS713" s="66"/>
      <c r="BT713" s="66"/>
      <c r="BU713" s="66"/>
      <c r="BV713" s="66"/>
      <c r="BW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/>
      <c r="BJ714" s="66"/>
      <c r="BK714" s="66"/>
      <c r="BL714" s="66"/>
      <c r="BM714" s="66"/>
      <c r="BN714" s="66"/>
      <c r="BO714" s="66"/>
      <c r="BP714" s="66"/>
      <c r="BQ714" s="66"/>
      <c r="BR714" s="66"/>
      <c r="BS714" s="66"/>
      <c r="BT714" s="66"/>
      <c r="BU714" s="66"/>
      <c r="BV714" s="66"/>
      <c r="BW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/>
      <c r="BJ715" s="66"/>
      <c r="BK715" s="66"/>
      <c r="BL715" s="66"/>
      <c r="BM715" s="66"/>
      <c r="BN715" s="66"/>
      <c r="BO715" s="66"/>
      <c r="BP715" s="66"/>
      <c r="BQ715" s="66"/>
      <c r="BR715" s="66"/>
      <c r="BS715" s="66"/>
      <c r="BT715" s="66"/>
      <c r="BU715" s="66"/>
      <c r="BV715" s="66"/>
      <c r="BW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/>
      <c r="BJ716" s="66"/>
      <c r="BK716" s="66"/>
      <c r="BL716" s="66"/>
      <c r="BM716" s="66"/>
      <c r="BN716" s="66"/>
      <c r="BO716" s="66"/>
      <c r="BP716" s="66"/>
      <c r="BQ716" s="66"/>
      <c r="BR716" s="66"/>
      <c r="BS716" s="66"/>
      <c r="BT716" s="66"/>
      <c r="BU716" s="66"/>
      <c r="BV716" s="66"/>
      <c r="BW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/>
      <c r="BJ717" s="66"/>
      <c r="BK717" s="66"/>
      <c r="BL717" s="66"/>
      <c r="BM717" s="66"/>
      <c r="BN717" s="66"/>
      <c r="BO717" s="66"/>
      <c r="BP717" s="66"/>
      <c r="BQ717" s="66"/>
      <c r="BR717" s="66"/>
      <c r="BS717" s="66"/>
      <c r="BT717" s="66"/>
      <c r="BU717" s="66"/>
      <c r="BV717" s="66"/>
      <c r="BW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/>
      <c r="BJ718" s="66"/>
      <c r="BK718" s="66"/>
      <c r="BL718" s="66"/>
      <c r="BM718" s="66"/>
      <c r="BN718" s="66"/>
      <c r="BO718" s="66"/>
      <c r="BP718" s="66"/>
      <c r="BQ718" s="66"/>
      <c r="BR718" s="66"/>
      <c r="BS718" s="66"/>
      <c r="BT718" s="66"/>
      <c r="BU718" s="66"/>
      <c r="BV718" s="66"/>
      <c r="BW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/>
      <c r="BJ719" s="66"/>
      <c r="BK719" s="66"/>
      <c r="BL719" s="66"/>
      <c r="BM719" s="66"/>
      <c r="BN719" s="66"/>
      <c r="BO719" s="66"/>
      <c r="BP719" s="66"/>
      <c r="BQ719" s="66"/>
      <c r="BR719" s="66"/>
      <c r="BS719" s="66"/>
      <c r="BT719" s="66"/>
      <c r="BU719" s="66"/>
      <c r="BV719" s="66"/>
      <c r="BW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/>
      <c r="BJ720" s="66"/>
      <c r="BK720" s="66"/>
      <c r="BL720" s="66"/>
      <c r="BM720" s="66"/>
      <c r="BN720" s="66"/>
      <c r="BO720" s="66"/>
      <c r="BP720" s="66"/>
      <c r="BQ720" s="66"/>
      <c r="BR720" s="66"/>
      <c r="BS720" s="66"/>
      <c r="BT720" s="66"/>
      <c r="BU720" s="66"/>
      <c r="BV720" s="66"/>
      <c r="BW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  <c r="BF721" s="66"/>
      <c r="BG721" s="66"/>
      <c r="BH721" s="66"/>
      <c r="BI721" s="66"/>
      <c r="BJ721" s="66"/>
      <c r="BK721" s="66"/>
      <c r="BL721" s="66"/>
      <c r="BM721" s="66"/>
      <c r="BN721" s="66"/>
      <c r="BO721" s="66"/>
      <c r="BP721" s="66"/>
      <c r="BQ721" s="66"/>
      <c r="BR721" s="66"/>
      <c r="BS721" s="66"/>
      <c r="BT721" s="66"/>
      <c r="BU721" s="66"/>
      <c r="BV721" s="66"/>
      <c r="BW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/>
      <c r="BJ722" s="66"/>
      <c r="BK722" s="66"/>
      <c r="BL722" s="66"/>
      <c r="BM722" s="66"/>
      <c r="BN722" s="66"/>
      <c r="BO722" s="66"/>
      <c r="BP722" s="66"/>
      <c r="BQ722" s="66"/>
      <c r="BR722" s="66"/>
      <c r="BS722" s="66"/>
      <c r="BT722" s="66"/>
      <c r="BU722" s="66"/>
      <c r="BV722" s="66"/>
      <c r="BW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  <c r="BF723" s="66"/>
      <c r="BG723" s="66"/>
      <c r="BH723" s="66"/>
      <c r="BI723" s="66"/>
      <c r="BJ723" s="66"/>
      <c r="BK723" s="66"/>
      <c r="BL723" s="66"/>
      <c r="BM723" s="66"/>
      <c r="BN723" s="66"/>
      <c r="BO723" s="66"/>
      <c r="BP723" s="66"/>
      <c r="BQ723" s="66"/>
      <c r="BR723" s="66"/>
      <c r="BS723" s="66"/>
      <c r="BT723" s="66"/>
      <c r="BU723" s="66"/>
      <c r="BV723" s="66"/>
      <c r="BW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/>
      <c r="BJ724" s="66"/>
      <c r="BK724" s="66"/>
      <c r="BL724" s="66"/>
      <c r="BM724" s="66"/>
      <c r="BN724" s="66"/>
      <c r="BO724" s="66"/>
      <c r="BP724" s="66"/>
      <c r="BQ724" s="66"/>
      <c r="BR724" s="66"/>
      <c r="BS724" s="66"/>
      <c r="BT724" s="66"/>
      <c r="BU724" s="66"/>
      <c r="BV724" s="66"/>
      <c r="BW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/>
      <c r="BJ725" s="66"/>
      <c r="BK725" s="66"/>
      <c r="BL725" s="66"/>
      <c r="BM725" s="66"/>
      <c r="BN725" s="66"/>
      <c r="BO725" s="66"/>
      <c r="BP725" s="66"/>
      <c r="BQ725" s="66"/>
      <c r="BR725" s="66"/>
      <c r="BS725" s="66"/>
      <c r="BT725" s="66"/>
      <c r="BU725" s="66"/>
      <c r="BV725" s="66"/>
      <c r="BW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/>
      <c r="BJ726" s="66"/>
      <c r="BK726" s="66"/>
      <c r="BL726" s="66"/>
      <c r="BM726" s="66"/>
      <c r="BN726" s="66"/>
      <c r="BO726" s="66"/>
      <c r="BP726" s="66"/>
      <c r="BQ726" s="66"/>
      <c r="BR726" s="66"/>
      <c r="BS726" s="66"/>
      <c r="BT726" s="66"/>
      <c r="BU726" s="66"/>
      <c r="BV726" s="66"/>
      <c r="BW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  <c r="BF727" s="66"/>
      <c r="BG727" s="66"/>
      <c r="BH727" s="66"/>
      <c r="BI727" s="66"/>
      <c r="BJ727" s="66"/>
      <c r="BK727" s="66"/>
      <c r="BL727" s="66"/>
      <c r="BM727" s="66"/>
      <c r="BN727" s="66"/>
      <c r="BO727" s="66"/>
      <c r="BP727" s="66"/>
      <c r="BQ727" s="66"/>
      <c r="BR727" s="66"/>
      <c r="BS727" s="66"/>
      <c r="BT727" s="66"/>
      <c r="BU727" s="66"/>
      <c r="BV727" s="66"/>
      <c r="BW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/>
      <c r="BJ728" s="66"/>
      <c r="BK728" s="66"/>
      <c r="BL728" s="66"/>
      <c r="BM728" s="66"/>
      <c r="BN728" s="66"/>
      <c r="BO728" s="66"/>
      <c r="BP728" s="66"/>
      <c r="BQ728" s="66"/>
      <c r="BR728" s="66"/>
      <c r="BS728" s="66"/>
      <c r="BT728" s="66"/>
      <c r="BU728" s="66"/>
      <c r="BV728" s="66"/>
      <c r="BW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  <c r="BF729" s="66"/>
      <c r="BG729" s="66"/>
      <c r="BH729" s="66"/>
      <c r="BI729" s="66"/>
      <c r="BJ729" s="66"/>
      <c r="BK729" s="66"/>
      <c r="BL729" s="66"/>
      <c r="BM729" s="66"/>
      <c r="BN729" s="66"/>
      <c r="BO729" s="66"/>
      <c r="BP729" s="66"/>
      <c r="BQ729" s="66"/>
      <c r="BR729" s="66"/>
      <c r="BS729" s="66"/>
      <c r="BT729" s="66"/>
      <c r="BU729" s="66"/>
      <c r="BV729" s="66"/>
      <c r="BW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/>
      <c r="BJ730" s="66"/>
      <c r="BK730" s="66"/>
      <c r="BL730" s="66"/>
      <c r="BM730" s="66"/>
      <c r="BN730" s="66"/>
      <c r="BO730" s="66"/>
      <c r="BP730" s="66"/>
      <c r="BQ730" s="66"/>
      <c r="BR730" s="66"/>
      <c r="BS730" s="66"/>
      <c r="BT730" s="66"/>
      <c r="BU730" s="66"/>
      <c r="BV730" s="66"/>
      <c r="BW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/>
      <c r="BJ731" s="66"/>
      <c r="BK731" s="66"/>
      <c r="BL731" s="66"/>
      <c r="BM731" s="66"/>
      <c r="BN731" s="66"/>
      <c r="BO731" s="66"/>
      <c r="BP731" s="66"/>
      <c r="BQ731" s="66"/>
      <c r="BR731" s="66"/>
      <c r="BS731" s="66"/>
      <c r="BT731" s="66"/>
      <c r="BU731" s="66"/>
      <c r="BV731" s="66"/>
      <c r="BW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/>
      <c r="BJ732" s="66"/>
      <c r="BK732" s="66"/>
      <c r="BL732" s="66"/>
      <c r="BM732" s="66"/>
      <c r="BN732" s="66"/>
      <c r="BO732" s="66"/>
      <c r="BP732" s="66"/>
      <c r="BQ732" s="66"/>
      <c r="BR732" s="66"/>
      <c r="BS732" s="66"/>
      <c r="BT732" s="66"/>
      <c r="BU732" s="66"/>
      <c r="BV732" s="66"/>
      <c r="BW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/>
      <c r="BJ733" s="66"/>
      <c r="BK733" s="66"/>
      <c r="BL733" s="66"/>
      <c r="BM733" s="66"/>
      <c r="BN733" s="66"/>
      <c r="BO733" s="66"/>
      <c r="BP733" s="66"/>
      <c r="BQ733" s="66"/>
      <c r="BR733" s="66"/>
      <c r="BS733" s="66"/>
      <c r="BT733" s="66"/>
      <c r="BU733" s="66"/>
      <c r="BV733" s="66"/>
      <c r="BW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/>
      <c r="BJ734" s="66"/>
      <c r="BK734" s="66"/>
      <c r="BL734" s="66"/>
      <c r="BM734" s="66"/>
      <c r="BN734" s="66"/>
      <c r="BO734" s="66"/>
      <c r="BP734" s="66"/>
      <c r="BQ734" s="66"/>
      <c r="BR734" s="66"/>
      <c r="BS734" s="66"/>
      <c r="BT734" s="66"/>
      <c r="BU734" s="66"/>
      <c r="BV734" s="66"/>
      <c r="BW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/>
      <c r="BJ735" s="66"/>
      <c r="BK735" s="66"/>
      <c r="BL735" s="66"/>
      <c r="BM735" s="66"/>
      <c r="BN735" s="66"/>
      <c r="BO735" s="66"/>
      <c r="BP735" s="66"/>
      <c r="BQ735" s="66"/>
      <c r="BR735" s="66"/>
      <c r="BS735" s="66"/>
      <c r="BT735" s="66"/>
      <c r="BU735" s="66"/>
      <c r="BV735" s="66"/>
      <c r="BW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/>
      <c r="BJ736" s="66"/>
      <c r="BK736" s="66"/>
      <c r="BL736" s="66"/>
      <c r="BM736" s="66"/>
      <c r="BN736" s="66"/>
      <c r="BO736" s="66"/>
      <c r="BP736" s="66"/>
      <c r="BQ736" s="66"/>
      <c r="BR736" s="66"/>
      <c r="BS736" s="66"/>
      <c r="BT736" s="66"/>
      <c r="BU736" s="66"/>
      <c r="BV736" s="66"/>
      <c r="BW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  <c r="BF737" s="66"/>
      <c r="BG737" s="66"/>
      <c r="BH737" s="66"/>
      <c r="BI737" s="66"/>
      <c r="BJ737" s="66"/>
      <c r="BK737" s="66"/>
      <c r="BL737" s="66"/>
      <c r="BM737" s="66"/>
      <c r="BN737" s="66"/>
      <c r="BO737" s="66"/>
      <c r="BP737" s="66"/>
      <c r="BQ737" s="66"/>
      <c r="BR737" s="66"/>
      <c r="BS737" s="66"/>
      <c r="BT737" s="66"/>
      <c r="BU737" s="66"/>
      <c r="BV737" s="66"/>
      <c r="BW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/>
      <c r="BJ738" s="66"/>
      <c r="BK738" s="66"/>
      <c r="BL738" s="66"/>
      <c r="BM738" s="66"/>
      <c r="BN738" s="66"/>
      <c r="BO738" s="66"/>
      <c r="BP738" s="66"/>
      <c r="BQ738" s="66"/>
      <c r="BR738" s="66"/>
      <c r="BS738" s="66"/>
      <c r="BT738" s="66"/>
      <c r="BU738" s="66"/>
      <c r="BV738" s="66"/>
      <c r="BW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/>
      <c r="BJ739" s="66"/>
      <c r="BK739" s="66"/>
      <c r="BL739" s="66"/>
      <c r="BM739" s="66"/>
      <c r="BN739" s="66"/>
      <c r="BO739" s="66"/>
      <c r="BP739" s="66"/>
      <c r="BQ739" s="66"/>
      <c r="BR739" s="66"/>
      <c r="BS739" s="66"/>
      <c r="BT739" s="66"/>
      <c r="BU739" s="66"/>
      <c r="BV739" s="66"/>
      <c r="BW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/>
      <c r="BJ740" s="66"/>
      <c r="BK740" s="66"/>
      <c r="BL740" s="66"/>
      <c r="BM740" s="66"/>
      <c r="BN740" s="66"/>
      <c r="BO740" s="66"/>
      <c r="BP740" s="66"/>
      <c r="BQ740" s="66"/>
      <c r="BR740" s="66"/>
      <c r="BS740" s="66"/>
      <c r="BT740" s="66"/>
      <c r="BU740" s="66"/>
      <c r="BV740" s="66"/>
      <c r="BW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  <c r="BF741" s="66"/>
      <c r="BG741" s="66"/>
      <c r="BH741" s="66"/>
      <c r="BI741" s="66"/>
      <c r="BJ741" s="66"/>
      <c r="BK741" s="66"/>
      <c r="BL741" s="66"/>
      <c r="BM741" s="66"/>
      <c r="BN741" s="66"/>
      <c r="BO741" s="66"/>
      <c r="BP741" s="66"/>
      <c r="BQ741" s="66"/>
      <c r="BR741" s="66"/>
      <c r="BS741" s="66"/>
      <c r="BT741" s="66"/>
      <c r="BU741" s="66"/>
      <c r="BV741" s="66"/>
      <c r="BW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/>
      <c r="BJ742" s="66"/>
      <c r="BK742" s="66"/>
      <c r="BL742" s="66"/>
      <c r="BM742" s="66"/>
      <c r="BN742" s="66"/>
      <c r="BO742" s="66"/>
      <c r="BP742" s="66"/>
      <c r="BQ742" s="66"/>
      <c r="BR742" s="66"/>
      <c r="BS742" s="66"/>
      <c r="BT742" s="66"/>
      <c r="BU742" s="66"/>
      <c r="BV742" s="66"/>
      <c r="BW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/>
      <c r="BJ743" s="66"/>
      <c r="BK743" s="66"/>
      <c r="BL743" s="66"/>
      <c r="BM743" s="66"/>
      <c r="BN743" s="66"/>
      <c r="BO743" s="66"/>
      <c r="BP743" s="66"/>
      <c r="BQ743" s="66"/>
      <c r="BR743" s="66"/>
      <c r="BS743" s="66"/>
      <c r="BT743" s="66"/>
      <c r="BU743" s="66"/>
      <c r="BV743" s="66"/>
      <c r="BW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/>
      <c r="BJ744" s="66"/>
      <c r="BK744" s="66"/>
      <c r="BL744" s="66"/>
      <c r="BM744" s="66"/>
      <c r="BN744" s="66"/>
      <c r="BO744" s="66"/>
      <c r="BP744" s="66"/>
      <c r="BQ744" s="66"/>
      <c r="BR744" s="66"/>
      <c r="BS744" s="66"/>
      <c r="BT744" s="66"/>
      <c r="BU744" s="66"/>
      <c r="BV744" s="66"/>
      <c r="BW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  <c r="BF745" s="66"/>
      <c r="BG745" s="66"/>
      <c r="BH745" s="66"/>
      <c r="BI745" s="66"/>
      <c r="BJ745" s="66"/>
      <c r="BK745" s="66"/>
      <c r="BL745" s="66"/>
      <c r="BM745" s="66"/>
      <c r="BN745" s="66"/>
      <c r="BO745" s="66"/>
      <c r="BP745" s="66"/>
      <c r="BQ745" s="66"/>
      <c r="BR745" s="66"/>
      <c r="BS745" s="66"/>
      <c r="BT745" s="66"/>
      <c r="BU745" s="66"/>
      <c r="BV745" s="66"/>
      <c r="BW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  <c r="BF746" s="66"/>
      <c r="BG746" s="66"/>
      <c r="BH746" s="66"/>
      <c r="BI746" s="66"/>
      <c r="BJ746" s="66"/>
      <c r="BK746" s="66"/>
      <c r="BL746" s="66"/>
      <c r="BM746" s="66"/>
      <c r="BN746" s="66"/>
      <c r="BO746" s="66"/>
      <c r="BP746" s="66"/>
      <c r="BQ746" s="66"/>
      <c r="BR746" s="66"/>
      <c r="BS746" s="66"/>
      <c r="BT746" s="66"/>
      <c r="BU746" s="66"/>
      <c r="BV746" s="66"/>
      <c r="BW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  <c r="BD747" s="66"/>
      <c r="BE747" s="66"/>
      <c r="BF747" s="66"/>
      <c r="BG747" s="66"/>
      <c r="BH747" s="66"/>
      <c r="BI747" s="66"/>
      <c r="BJ747" s="66"/>
      <c r="BK747" s="66"/>
      <c r="BL747" s="66"/>
      <c r="BM747" s="66"/>
      <c r="BN747" s="66"/>
      <c r="BO747" s="66"/>
      <c r="BP747" s="66"/>
      <c r="BQ747" s="66"/>
      <c r="BR747" s="66"/>
      <c r="BS747" s="66"/>
      <c r="BT747" s="66"/>
      <c r="BU747" s="66"/>
      <c r="BV747" s="66"/>
      <c r="BW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  <c r="BD748" s="66"/>
      <c r="BE748" s="66"/>
      <c r="BF748" s="66"/>
      <c r="BG748" s="66"/>
      <c r="BH748" s="66"/>
      <c r="BI748" s="66"/>
      <c r="BJ748" s="66"/>
      <c r="BK748" s="66"/>
      <c r="BL748" s="66"/>
      <c r="BM748" s="66"/>
      <c r="BN748" s="66"/>
      <c r="BO748" s="66"/>
      <c r="BP748" s="66"/>
      <c r="BQ748" s="66"/>
      <c r="BR748" s="66"/>
      <c r="BS748" s="66"/>
      <c r="BT748" s="66"/>
      <c r="BU748" s="66"/>
      <c r="BV748" s="66"/>
      <c r="BW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  <c r="BD749" s="66"/>
      <c r="BE749" s="66"/>
      <c r="BF749" s="66"/>
      <c r="BG749" s="66"/>
      <c r="BH749" s="66"/>
      <c r="BI749" s="66"/>
      <c r="BJ749" s="66"/>
      <c r="BK749" s="66"/>
      <c r="BL749" s="66"/>
      <c r="BM749" s="66"/>
      <c r="BN749" s="66"/>
      <c r="BO749" s="66"/>
      <c r="BP749" s="66"/>
      <c r="BQ749" s="66"/>
      <c r="BR749" s="66"/>
      <c r="BS749" s="66"/>
      <c r="BT749" s="66"/>
      <c r="BU749" s="66"/>
      <c r="BV749" s="66"/>
      <c r="BW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  <c r="BF750" s="66"/>
      <c r="BG750" s="66"/>
      <c r="BH750" s="66"/>
      <c r="BI750" s="66"/>
      <c r="BJ750" s="66"/>
      <c r="BK750" s="66"/>
      <c r="BL750" s="66"/>
      <c r="BM750" s="66"/>
      <c r="BN750" s="66"/>
      <c r="BO750" s="66"/>
      <c r="BP750" s="66"/>
      <c r="BQ750" s="66"/>
      <c r="BR750" s="66"/>
      <c r="BS750" s="66"/>
      <c r="BT750" s="66"/>
      <c r="BU750" s="66"/>
      <c r="BV750" s="66"/>
      <c r="BW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  <c r="BD751" s="66"/>
      <c r="BE751" s="66"/>
      <c r="BF751" s="66"/>
      <c r="BG751" s="66"/>
      <c r="BH751" s="66"/>
      <c r="BI751" s="66"/>
      <c r="BJ751" s="66"/>
      <c r="BK751" s="66"/>
      <c r="BL751" s="66"/>
      <c r="BM751" s="66"/>
      <c r="BN751" s="66"/>
      <c r="BO751" s="66"/>
      <c r="BP751" s="66"/>
      <c r="BQ751" s="66"/>
      <c r="BR751" s="66"/>
      <c r="BS751" s="66"/>
      <c r="BT751" s="66"/>
      <c r="BU751" s="66"/>
      <c r="BV751" s="66"/>
      <c r="BW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  <c r="BF752" s="66"/>
      <c r="BG752" s="66"/>
      <c r="BH752" s="66"/>
      <c r="BI752" s="66"/>
      <c r="BJ752" s="66"/>
      <c r="BK752" s="66"/>
      <c r="BL752" s="66"/>
      <c r="BM752" s="66"/>
      <c r="BN752" s="66"/>
      <c r="BO752" s="66"/>
      <c r="BP752" s="66"/>
      <c r="BQ752" s="66"/>
      <c r="BR752" s="66"/>
      <c r="BS752" s="66"/>
      <c r="BT752" s="66"/>
      <c r="BU752" s="66"/>
      <c r="BV752" s="66"/>
      <c r="BW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  <c r="BD753" s="66"/>
      <c r="BE753" s="66"/>
      <c r="BF753" s="66"/>
      <c r="BG753" s="66"/>
      <c r="BH753" s="66"/>
      <c r="BI753" s="66"/>
      <c r="BJ753" s="66"/>
      <c r="BK753" s="66"/>
      <c r="BL753" s="66"/>
      <c r="BM753" s="66"/>
      <c r="BN753" s="66"/>
      <c r="BO753" s="66"/>
      <c r="BP753" s="66"/>
      <c r="BQ753" s="66"/>
      <c r="BR753" s="66"/>
      <c r="BS753" s="66"/>
      <c r="BT753" s="66"/>
      <c r="BU753" s="66"/>
      <c r="BV753" s="66"/>
      <c r="BW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  <c r="BF754" s="66"/>
      <c r="BG754" s="66"/>
      <c r="BH754" s="66"/>
      <c r="BI754" s="66"/>
      <c r="BJ754" s="66"/>
      <c r="BK754" s="66"/>
      <c r="BL754" s="66"/>
      <c r="BM754" s="66"/>
      <c r="BN754" s="66"/>
      <c r="BO754" s="66"/>
      <c r="BP754" s="66"/>
      <c r="BQ754" s="66"/>
      <c r="BR754" s="66"/>
      <c r="BS754" s="66"/>
      <c r="BT754" s="66"/>
      <c r="BU754" s="66"/>
      <c r="BV754" s="66"/>
      <c r="BW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6"/>
      <c r="BF755" s="66"/>
      <c r="BG755" s="66"/>
      <c r="BH755" s="66"/>
      <c r="BI755" s="66"/>
      <c r="BJ755" s="66"/>
      <c r="BK755" s="66"/>
      <c r="BL755" s="66"/>
      <c r="BM755" s="66"/>
      <c r="BN755" s="66"/>
      <c r="BO755" s="66"/>
      <c r="BP755" s="66"/>
      <c r="BQ755" s="66"/>
      <c r="BR755" s="66"/>
      <c r="BS755" s="66"/>
      <c r="BT755" s="66"/>
      <c r="BU755" s="66"/>
      <c r="BV755" s="66"/>
      <c r="BW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/>
      <c r="BJ756" s="66"/>
      <c r="BK756" s="66"/>
      <c r="BL756" s="66"/>
      <c r="BM756" s="66"/>
      <c r="BN756" s="66"/>
      <c r="BO756" s="66"/>
      <c r="BP756" s="66"/>
      <c r="BQ756" s="66"/>
      <c r="BR756" s="66"/>
      <c r="BS756" s="66"/>
      <c r="BT756" s="66"/>
      <c r="BU756" s="66"/>
      <c r="BV756" s="66"/>
      <c r="BW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  <c r="BD757" s="66"/>
      <c r="BE757" s="66"/>
      <c r="BF757" s="66"/>
      <c r="BG757" s="66"/>
      <c r="BH757" s="66"/>
      <c r="BI757" s="66"/>
      <c r="BJ757" s="66"/>
      <c r="BK757" s="66"/>
      <c r="BL757" s="66"/>
      <c r="BM757" s="66"/>
      <c r="BN757" s="66"/>
      <c r="BO757" s="66"/>
      <c r="BP757" s="66"/>
      <c r="BQ757" s="66"/>
      <c r="BR757" s="66"/>
      <c r="BS757" s="66"/>
      <c r="BT757" s="66"/>
      <c r="BU757" s="66"/>
      <c r="BV757" s="66"/>
      <c r="BW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  <c r="BD758" s="66"/>
      <c r="BE758" s="66"/>
      <c r="BF758" s="66"/>
      <c r="BG758" s="66"/>
      <c r="BH758" s="66"/>
      <c r="BI758" s="66"/>
      <c r="BJ758" s="66"/>
      <c r="BK758" s="66"/>
      <c r="BL758" s="66"/>
      <c r="BM758" s="66"/>
      <c r="BN758" s="66"/>
      <c r="BO758" s="66"/>
      <c r="BP758" s="66"/>
      <c r="BQ758" s="66"/>
      <c r="BR758" s="66"/>
      <c r="BS758" s="66"/>
      <c r="BT758" s="66"/>
      <c r="BU758" s="66"/>
      <c r="BV758" s="66"/>
      <c r="BW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  <c r="BD759" s="66"/>
      <c r="BE759" s="66"/>
      <c r="BF759" s="66"/>
      <c r="BG759" s="66"/>
      <c r="BH759" s="66"/>
      <c r="BI759" s="66"/>
      <c r="BJ759" s="66"/>
      <c r="BK759" s="66"/>
      <c r="BL759" s="66"/>
      <c r="BM759" s="66"/>
      <c r="BN759" s="66"/>
      <c r="BO759" s="66"/>
      <c r="BP759" s="66"/>
      <c r="BQ759" s="66"/>
      <c r="BR759" s="66"/>
      <c r="BS759" s="66"/>
      <c r="BT759" s="66"/>
      <c r="BU759" s="66"/>
      <c r="BV759" s="66"/>
      <c r="BW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66"/>
      <c r="AU760" s="66"/>
      <c r="AV760" s="66"/>
      <c r="AW760" s="66"/>
      <c r="AX760" s="66"/>
      <c r="AY760" s="66"/>
      <c r="AZ760" s="66"/>
      <c r="BA760" s="66"/>
      <c r="BB760" s="66"/>
      <c r="BC760" s="66"/>
      <c r="BD760" s="66"/>
      <c r="BE760" s="66"/>
      <c r="BF760" s="66"/>
      <c r="BG760" s="66"/>
      <c r="BH760" s="66"/>
      <c r="BI760" s="66"/>
      <c r="BJ760" s="66"/>
      <c r="BK760" s="66"/>
      <c r="BL760" s="66"/>
      <c r="BM760" s="66"/>
      <c r="BN760" s="66"/>
      <c r="BO760" s="66"/>
      <c r="BP760" s="66"/>
      <c r="BQ760" s="66"/>
      <c r="BR760" s="66"/>
      <c r="BS760" s="66"/>
      <c r="BT760" s="66"/>
      <c r="BU760" s="66"/>
      <c r="BV760" s="66"/>
      <c r="BW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66"/>
      <c r="AU761" s="66"/>
      <c r="AV761" s="66"/>
      <c r="AW761" s="66"/>
      <c r="AX761" s="66"/>
      <c r="AY761" s="66"/>
      <c r="AZ761" s="66"/>
      <c r="BA761" s="66"/>
      <c r="BB761" s="66"/>
      <c r="BC761" s="66"/>
      <c r="BD761" s="66"/>
      <c r="BE761" s="66"/>
      <c r="BF761" s="66"/>
      <c r="BG761" s="66"/>
      <c r="BH761" s="66"/>
      <c r="BI761" s="66"/>
      <c r="BJ761" s="66"/>
      <c r="BK761" s="66"/>
      <c r="BL761" s="66"/>
      <c r="BM761" s="66"/>
      <c r="BN761" s="66"/>
      <c r="BO761" s="66"/>
      <c r="BP761" s="66"/>
      <c r="BQ761" s="66"/>
      <c r="BR761" s="66"/>
      <c r="BS761" s="66"/>
      <c r="BT761" s="66"/>
      <c r="BU761" s="66"/>
      <c r="BV761" s="66"/>
      <c r="BW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66"/>
      <c r="AU762" s="66"/>
      <c r="AV762" s="66"/>
      <c r="AW762" s="66"/>
      <c r="AX762" s="66"/>
      <c r="AY762" s="66"/>
      <c r="AZ762" s="66"/>
      <c r="BA762" s="66"/>
      <c r="BB762" s="66"/>
      <c r="BC762" s="66"/>
      <c r="BD762" s="66"/>
      <c r="BE762" s="66"/>
      <c r="BF762" s="66"/>
      <c r="BG762" s="66"/>
      <c r="BH762" s="66"/>
      <c r="BI762" s="66"/>
      <c r="BJ762" s="66"/>
      <c r="BK762" s="66"/>
      <c r="BL762" s="66"/>
      <c r="BM762" s="66"/>
      <c r="BN762" s="66"/>
      <c r="BO762" s="66"/>
      <c r="BP762" s="66"/>
      <c r="BQ762" s="66"/>
      <c r="BR762" s="66"/>
      <c r="BS762" s="66"/>
      <c r="BT762" s="66"/>
      <c r="BU762" s="66"/>
      <c r="BV762" s="66"/>
      <c r="BW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66"/>
      <c r="AU763" s="66"/>
      <c r="AV763" s="66"/>
      <c r="AW763" s="66"/>
      <c r="AX763" s="66"/>
      <c r="AY763" s="66"/>
      <c r="AZ763" s="66"/>
      <c r="BA763" s="66"/>
      <c r="BB763" s="66"/>
      <c r="BC763" s="66"/>
      <c r="BD763" s="66"/>
      <c r="BE763" s="66"/>
      <c r="BF763" s="66"/>
      <c r="BG763" s="66"/>
      <c r="BH763" s="66"/>
      <c r="BI763" s="66"/>
      <c r="BJ763" s="66"/>
      <c r="BK763" s="66"/>
      <c r="BL763" s="66"/>
      <c r="BM763" s="66"/>
      <c r="BN763" s="66"/>
      <c r="BO763" s="66"/>
      <c r="BP763" s="66"/>
      <c r="BQ763" s="66"/>
      <c r="BR763" s="66"/>
      <c r="BS763" s="66"/>
      <c r="BT763" s="66"/>
      <c r="BU763" s="66"/>
      <c r="BV763" s="66"/>
      <c r="BW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66"/>
      <c r="AU764" s="66"/>
      <c r="AV764" s="66"/>
      <c r="AW764" s="66"/>
      <c r="AX764" s="66"/>
      <c r="AY764" s="66"/>
      <c r="AZ764" s="66"/>
      <c r="BA764" s="66"/>
      <c r="BB764" s="66"/>
      <c r="BC764" s="66"/>
      <c r="BD764" s="66"/>
      <c r="BE764" s="66"/>
      <c r="BF764" s="66"/>
      <c r="BG764" s="66"/>
      <c r="BH764" s="66"/>
      <c r="BI764" s="66"/>
      <c r="BJ764" s="66"/>
      <c r="BK764" s="66"/>
      <c r="BL764" s="66"/>
      <c r="BM764" s="66"/>
      <c r="BN764" s="66"/>
      <c r="BO764" s="66"/>
      <c r="BP764" s="66"/>
      <c r="BQ764" s="66"/>
      <c r="BR764" s="66"/>
      <c r="BS764" s="66"/>
      <c r="BT764" s="66"/>
      <c r="BU764" s="66"/>
      <c r="BV764" s="66"/>
      <c r="BW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/>
      <c r="BJ765" s="66"/>
      <c r="BK765" s="66"/>
      <c r="BL765" s="66"/>
      <c r="BM765" s="66"/>
      <c r="BN765" s="66"/>
      <c r="BO765" s="66"/>
      <c r="BP765" s="66"/>
      <c r="BQ765" s="66"/>
      <c r="BR765" s="66"/>
      <c r="BS765" s="66"/>
      <c r="BT765" s="66"/>
      <c r="BU765" s="66"/>
      <c r="BV765" s="66"/>
      <c r="BW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66"/>
      <c r="AU766" s="66"/>
      <c r="AV766" s="66"/>
      <c r="AW766" s="66"/>
      <c r="AX766" s="66"/>
      <c r="AY766" s="66"/>
      <c r="AZ766" s="66"/>
      <c r="BA766" s="66"/>
      <c r="BB766" s="66"/>
      <c r="BC766" s="66"/>
      <c r="BD766" s="66"/>
      <c r="BE766" s="66"/>
      <c r="BF766" s="66"/>
      <c r="BG766" s="66"/>
      <c r="BH766" s="66"/>
      <c r="BI766" s="66"/>
      <c r="BJ766" s="66"/>
      <c r="BK766" s="66"/>
      <c r="BL766" s="66"/>
      <c r="BM766" s="66"/>
      <c r="BN766" s="66"/>
      <c r="BO766" s="66"/>
      <c r="BP766" s="66"/>
      <c r="BQ766" s="66"/>
      <c r="BR766" s="66"/>
      <c r="BS766" s="66"/>
      <c r="BT766" s="66"/>
      <c r="BU766" s="66"/>
      <c r="BV766" s="66"/>
      <c r="BW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66"/>
      <c r="AU767" s="66"/>
      <c r="AV767" s="66"/>
      <c r="AW767" s="66"/>
      <c r="AX767" s="66"/>
      <c r="AY767" s="66"/>
      <c r="AZ767" s="66"/>
      <c r="BA767" s="66"/>
      <c r="BB767" s="66"/>
      <c r="BC767" s="66"/>
      <c r="BD767" s="66"/>
      <c r="BE767" s="66"/>
      <c r="BF767" s="66"/>
      <c r="BG767" s="66"/>
      <c r="BH767" s="66"/>
      <c r="BI767" s="66"/>
      <c r="BJ767" s="66"/>
      <c r="BK767" s="66"/>
      <c r="BL767" s="66"/>
      <c r="BM767" s="66"/>
      <c r="BN767" s="66"/>
      <c r="BO767" s="66"/>
      <c r="BP767" s="66"/>
      <c r="BQ767" s="66"/>
      <c r="BR767" s="66"/>
      <c r="BS767" s="66"/>
      <c r="BT767" s="66"/>
      <c r="BU767" s="66"/>
      <c r="BV767" s="66"/>
      <c r="BW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6"/>
      <c r="BB768" s="66"/>
      <c r="BC768" s="66"/>
      <c r="BD768" s="66"/>
      <c r="BE768" s="66"/>
      <c r="BF768" s="66"/>
      <c r="BG768" s="66"/>
      <c r="BH768" s="66"/>
      <c r="BI768" s="66"/>
      <c r="BJ768" s="66"/>
      <c r="BK768" s="66"/>
      <c r="BL768" s="66"/>
      <c r="BM768" s="66"/>
      <c r="BN768" s="66"/>
      <c r="BO768" s="66"/>
      <c r="BP768" s="66"/>
      <c r="BQ768" s="66"/>
      <c r="BR768" s="66"/>
      <c r="BS768" s="66"/>
      <c r="BT768" s="66"/>
      <c r="BU768" s="66"/>
      <c r="BV768" s="66"/>
      <c r="BW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66"/>
      <c r="AU769" s="66"/>
      <c r="AV769" s="66"/>
      <c r="AW769" s="66"/>
      <c r="AX769" s="66"/>
      <c r="AY769" s="66"/>
      <c r="AZ769" s="66"/>
      <c r="BA769" s="66"/>
      <c r="BB769" s="66"/>
      <c r="BC769" s="66"/>
      <c r="BD769" s="66"/>
      <c r="BE769" s="66"/>
      <c r="BF769" s="66"/>
      <c r="BG769" s="66"/>
      <c r="BH769" s="66"/>
      <c r="BI769" s="66"/>
      <c r="BJ769" s="66"/>
      <c r="BK769" s="66"/>
      <c r="BL769" s="66"/>
      <c r="BM769" s="66"/>
      <c r="BN769" s="66"/>
      <c r="BO769" s="66"/>
      <c r="BP769" s="66"/>
      <c r="BQ769" s="66"/>
      <c r="BR769" s="66"/>
      <c r="BS769" s="66"/>
      <c r="BT769" s="66"/>
      <c r="BU769" s="66"/>
      <c r="BV769" s="66"/>
      <c r="BW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66"/>
      <c r="AZ770" s="66"/>
      <c r="BA770" s="66"/>
      <c r="BB770" s="66"/>
      <c r="BC770" s="66"/>
      <c r="BD770" s="66"/>
      <c r="BE770" s="66"/>
      <c r="BF770" s="66"/>
      <c r="BG770" s="66"/>
      <c r="BH770" s="66"/>
      <c r="BI770" s="66"/>
      <c r="BJ770" s="66"/>
      <c r="BK770" s="66"/>
      <c r="BL770" s="66"/>
      <c r="BM770" s="66"/>
      <c r="BN770" s="66"/>
      <c r="BO770" s="66"/>
      <c r="BP770" s="66"/>
      <c r="BQ770" s="66"/>
      <c r="BR770" s="66"/>
      <c r="BS770" s="66"/>
      <c r="BT770" s="66"/>
      <c r="BU770" s="66"/>
      <c r="BV770" s="66"/>
      <c r="BW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66"/>
      <c r="AU771" s="66"/>
      <c r="AV771" s="66"/>
      <c r="AW771" s="66"/>
      <c r="AX771" s="66"/>
      <c r="AY771" s="66"/>
      <c r="AZ771" s="66"/>
      <c r="BA771" s="66"/>
      <c r="BB771" s="66"/>
      <c r="BC771" s="66"/>
      <c r="BD771" s="66"/>
      <c r="BE771" s="66"/>
      <c r="BF771" s="66"/>
      <c r="BG771" s="66"/>
      <c r="BH771" s="66"/>
      <c r="BI771" s="66"/>
      <c r="BJ771" s="66"/>
      <c r="BK771" s="66"/>
      <c r="BL771" s="66"/>
      <c r="BM771" s="66"/>
      <c r="BN771" s="66"/>
      <c r="BO771" s="66"/>
      <c r="BP771" s="66"/>
      <c r="BQ771" s="66"/>
      <c r="BR771" s="66"/>
      <c r="BS771" s="66"/>
      <c r="BT771" s="66"/>
      <c r="BU771" s="66"/>
      <c r="BV771" s="66"/>
      <c r="BW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66"/>
      <c r="AU772" s="66"/>
      <c r="AV772" s="66"/>
      <c r="AW772" s="66"/>
      <c r="AX772" s="66"/>
      <c r="AY772" s="66"/>
      <c r="AZ772" s="66"/>
      <c r="BA772" s="66"/>
      <c r="BB772" s="66"/>
      <c r="BC772" s="66"/>
      <c r="BD772" s="66"/>
      <c r="BE772" s="66"/>
      <c r="BF772" s="66"/>
      <c r="BG772" s="66"/>
      <c r="BH772" s="66"/>
      <c r="BI772" s="66"/>
      <c r="BJ772" s="66"/>
      <c r="BK772" s="66"/>
      <c r="BL772" s="66"/>
      <c r="BM772" s="66"/>
      <c r="BN772" s="66"/>
      <c r="BO772" s="66"/>
      <c r="BP772" s="66"/>
      <c r="BQ772" s="66"/>
      <c r="BR772" s="66"/>
      <c r="BS772" s="66"/>
      <c r="BT772" s="66"/>
      <c r="BU772" s="66"/>
      <c r="BV772" s="66"/>
      <c r="BW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  <c r="BD773" s="66"/>
      <c r="BE773" s="66"/>
      <c r="BF773" s="66"/>
      <c r="BG773" s="66"/>
      <c r="BH773" s="66"/>
      <c r="BI773" s="66"/>
      <c r="BJ773" s="66"/>
      <c r="BK773" s="66"/>
      <c r="BL773" s="66"/>
      <c r="BM773" s="66"/>
      <c r="BN773" s="66"/>
      <c r="BO773" s="66"/>
      <c r="BP773" s="66"/>
      <c r="BQ773" s="66"/>
      <c r="BR773" s="66"/>
      <c r="BS773" s="66"/>
      <c r="BT773" s="66"/>
      <c r="BU773" s="66"/>
      <c r="BV773" s="66"/>
      <c r="BW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66"/>
      <c r="AZ774" s="66"/>
      <c r="BA774" s="66"/>
      <c r="BB774" s="66"/>
      <c r="BC774" s="66"/>
      <c r="BD774" s="66"/>
      <c r="BE774" s="66"/>
      <c r="BF774" s="66"/>
      <c r="BG774" s="66"/>
      <c r="BH774" s="66"/>
      <c r="BI774" s="66"/>
      <c r="BJ774" s="66"/>
      <c r="BK774" s="66"/>
      <c r="BL774" s="66"/>
      <c r="BM774" s="66"/>
      <c r="BN774" s="66"/>
      <c r="BO774" s="66"/>
      <c r="BP774" s="66"/>
      <c r="BQ774" s="66"/>
      <c r="BR774" s="66"/>
      <c r="BS774" s="66"/>
      <c r="BT774" s="66"/>
      <c r="BU774" s="66"/>
      <c r="BV774" s="66"/>
      <c r="BW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66"/>
      <c r="AZ775" s="66"/>
      <c r="BA775" s="66"/>
      <c r="BB775" s="66"/>
      <c r="BC775" s="66"/>
      <c r="BD775" s="66"/>
      <c r="BE775" s="66"/>
      <c r="BF775" s="66"/>
      <c r="BG775" s="66"/>
      <c r="BH775" s="66"/>
      <c r="BI775" s="66"/>
      <c r="BJ775" s="66"/>
      <c r="BK775" s="66"/>
      <c r="BL775" s="66"/>
      <c r="BM775" s="66"/>
      <c r="BN775" s="66"/>
      <c r="BO775" s="66"/>
      <c r="BP775" s="66"/>
      <c r="BQ775" s="66"/>
      <c r="BR775" s="66"/>
      <c r="BS775" s="66"/>
      <c r="BT775" s="66"/>
      <c r="BU775" s="66"/>
      <c r="BV775" s="66"/>
      <c r="BW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  <c r="AS776" s="66"/>
      <c r="AT776" s="66"/>
      <c r="AU776" s="66"/>
      <c r="AV776" s="66"/>
      <c r="AW776" s="66"/>
      <c r="AX776" s="66"/>
      <c r="AY776" s="66"/>
      <c r="AZ776" s="66"/>
      <c r="BA776" s="66"/>
      <c r="BB776" s="66"/>
      <c r="BC776" s="66"/>
      <c r="BD776" s="66"/>
      <c r="BE776" s="66"/>
      <c r="BF776" s="66"/>
      <c r="BG776" s="66"/>
      <c r="BH776" s="66"/>
      <c r="BI776" s="66"/>
      <c r="BJ776" s="66"/>
      <c r="BK776" s="66"/>
      <c r="BL776" s="66"/>
      <c r="BM776" s="66"/>
      <c r="BN776" s="66"/>
      <c r="BO776" s="66"/>
      <c r="BP776" s="66"/>
      <c r="BQ776" s="66"/>
      <c r="BR776" s="66"/>
      <c r="BS776" s="66"/>
      <c r="BT776" s="66"/>
      <c r="BU776" s="66"/>
      <c r="BV776" s="66"/>
      <c r="BW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6"/>
      <c r="BB777" s="66"/>
      <c r="BC777" s="66"/>
      <c r="BD777" s="66"/>
      <c r="BE777" s="66"/>
      <c r="BF777" s="66"/>
      <c r="BG777" s="66"/>
      <c r="BH777" s="66"/>
      <c r="BI777" s="66"/>
      <c r="BJ777" s="66"/>
      <c r="BK777" s="66"/>
      <c r="BL777" s="66"/>
      <c r="BM777" s="66"/>
      <c r="BN777" s="66"/>
      <c r="BO777" s="66"/>
      <c r="BP777" s="66"/>
      <c r="BQ777" s="66"/>
      <c r="BR777" s="66"/>
      <c r="BS777" s="66"/>
      <c r="BT777" s="66"/>
      <c r="BU777" s="66"/>
      <c r="BV777" s="66"/>
      <c r="BW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66"/>
      <c r="AU778" s="66"/>
      <c r="AV778" s="66"/>
      <c r="AW778" s="66"/>
      <c r="AX778" s="66"/>
      <c r="AY778" s="66"/>
      <c r="AZ778" s="66"/>
      <c r="BA778" s="66"/>
      <c r="BB778" s="66"/>
      <c r="BC778" s="66"/>
      <c r="BD778" s="66"/>
      <c r="BE778" s="66"/>
      <c r="BF778" s="66"/>
      <c r="BG778" s="66"/>
      <c r="BH778" s="66"/>
      <c r="BI778" s="66"/>
      <c r="BJ778" s="66"/>
      <c r="BK778" s="66"/>
      <c r="BL778" s="66"/>
      <c r="BM778" s="66"/>
      <c r="BN778" s="66"/>
      <c r="BO778" s="66"/>
      <c r="BP778" s="66"/>
      <c r="BQ778" s="66"/>
      <c r="BR778" s="66"/>
      <c r="BS778" s="66"/>
      <c r="BT778" s="66"/>
      <c r="BU778" s="66"/>
      <c r="BV778" s="66"/>
      <c r="BW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  <c r="BD779" s="66"/>
      <c r="BE779" s="66"/>
      <c r="BF779" s="66"/>
      <c r="BG779" s="66"/>
      <c r="BH779" s="66"/>
      <c r="BI779" s="66"/>
      <c r="BJ779" s="66"/>
      <c r="BK779" s="66"/>
      <c r="BL779" s="66"/>
      <c r="BM779" s="66"/>
      <c r="BN779" s="66"/>
      <c r="BO779" s="66"/>
      <c r="BP779" s="66"/>
      <c r="BQ779" s="66"/>
      <c r="BR779" s="66"/>
      <c r="BS779" s="66"/>
      <c r="BT779" s="66"/>
      <c r="BU779" s="66"/>
      <c r="BV779" s="66"/>
      <c r="BW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/>
      <c r="BJ780" s="66"/>
      <c r="BK780" s="66"/>
      <c r="BL780" s="66"/>
      <c r="BM780" s="66"/>
      <c r="BN780" s="66"/>
      <c r="BO780" s="66"/>
      <c r="BP780" s="66"/>
      <c r="BQ780" s="66"/>
      <c r="BR780" s="66"/>
      <c r="BS780" s="66"/>
      <c r="BT780" s="66"/>
      <c r="BU780" s="66"/>
      <c r="BV780" s="66"/>
      <c r="BW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/>
      <c r="BJ781" s="66"/>
      <c r="BK781" s="66"/>
      <c r="BL781" s="66"/>
      <c r="BM781" s="66"/>
      <c r="BN781" s="66"/>
      <c r="BO781" s="66"/>
      <c r="BP781" s="66"/>
      <c r="BQ781" s="66"/>
      <c r="BR781" s="66"/>
      <c r="BS781" s="66"/>
      <c r="BT781" s="66"/>
      <c r="BU781" s="66"/>
      <c r="BV781" s="66"/>
      <c r="BW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  <c r="BD782" s="66"/>
      <c r="BE782" s="66"/>
      <c r="BF782" s="66"/>
      <c r="BG782" s="66"/>
      <c r="BH782" s="66"/>
      <c r="BI782" s="66"/>
      <c r="BJ782" s="66"/>
      <c r="BK782" s="66"/>
      <c r="BL782" s="66"/>
      <c r="BM782" s="66"/>
      <c r="BN782" s="66"/>
      <c r="BO782" s="66"/>
      <c r="BP782" s="66"/>
      <c r="BQ782" s="66"/>
      <c r="BR782" s="66"/>
      <c r="BS782" s="66"/>
      <c r="BT782" s="66"/>
      <c r="BU782" s="66"/>
      <c r="BV782" s="66"/>
      <c r="BW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  <c r="BD783" s="66"/>
      <c r="BE783" s="66"/>
      <c r="BF783" s="66"/>
      <c r="BG783" s="66"/>
      <c r="BH783" s="66"/>
      <c r="BI783" s="66"/>
      <c r="BJ783" s="66"/>
      <c r="BK783" s="66"/>
      <c r="BL783" s="66"/>
      <c r="BM783" s="66"/>
      <c r="BN783" s="66"/>
      <c r="BO783" s="66"/>
      <c r="BP783" s="66"/>
      <c r="BQ783" s="66"/>
      <c r="BR783" s="66"/>
      <c r="BS783" s="66"/>
      <c r="BT783" s="66"/>
      <c r="BU783" s="66"/>
      <c r="BV783" s="66"/>
      <c r="BW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/>
      <c r="BJ784" s="66"/>
      <c r="BK784" s="66"/>
      <c r="BL784" s="66"/>
      <c r="BM784" s="66"/>
      <c r="BN784" s="66"/>
      <c r="BO784" s="66"/>
      <c r="BP784" s="66"/>
      <c r="BQ784" s="66"/>
      <c r="BR784" s="66"/>
      <c r="BS784" s="66"/>
      <c r="BT784" s="66"/>
      <c r="BU784" s="66"/>
      <c r="BV784" s="66"/>
      <c r="BW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  <c r="BD785" s="66"/>
      <c r="BE785" s="66"/>
      <c r="BF785" s="66"/>
      <c r="BG785" s="66"/>
      <c r="BH785" s="66"/>
      <c r="BI785" s="66"/>
      <c r="BJ785" s="66"/>
      <c r="BK785" s="66"/>
      <c r="BL785" s="66"/>
      <c r="BM785" s="66"/>
      <c r="BN785" s="66"/>
      <c r="BO785" s="66"/>
      <c r="BP785" s="66"/>
      <c r="BQ785" s="66"/>
      <c r="BR785" s="66"/>
      <c r="BS785" s="66"/>
      <c r="BT785" s="66"/>
      <c r="BU785" s="66"/>
      <c r="BV785" s="66"/>
      <c r="BW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/>
      <c r="BJ786" s="66"/>
      <c r="BK786" s="66"/>
      <c r="BL786" s="66"/>
      <c r="BM786" s="66"/>
      <c r="BN786" s="66"/>
      <c r="BO786" s="66"/>
      <c r="BP786" s="66"/>
      <c r="BQ786" s="66"/>
      <c r="BR786" s="66"/>
      <c r="BS786" s="66"/>
      <c r="BT786" s="66"/>
      <c r="BU786" s="66"/>
      <c r="BV786" s="66"/>
      <c r="BW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  <c r="BD787" s="66"/>
      <c r="BE787" s="66"/>
      <c r="BF787" s="66"/>
      <c r="BG787" s="66"/>
      <c r="BH787" s="66"/>
      <c r="BI787" s="66"/>
      <c r="BJ787" s="66"/>
      <c r="BK787" s="66"/>
      <c r="BL787" s="66"/>
      <c r="BM787" s="66"/>
      <c r="BN787" s="66"/>
      <c r="BO787" s="66"/>
      <c r="BP787" s="66"/>
      <c r="BQ787" s="66"/>
      <c r="BR787" s="66"/>
      <c r="BS787" s="66"/>
      <c r="BT787" s="66"/>
      <c r="BU787" s="66"/>
      <c r="BV787" s="66"/>
      <c r="BW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/>
      <c r="BJ788" s="66"/>
      <c r="BK788" s="66"/>
      <c r="BL788" s="66"/>
      <c r="BM788" s="66"/>
      <c r="BN788" s="66"/>
      <c r="BO788" s="66"/>
      <c r="BP788" s="66"/>
      <c r="BQ788" s="66"/>
      <c r="BR788" s="66"/>
      <c r="BS788" s="66"/>
      <c r="BT788" s="66"/>
      <c r="BU788" s="66"/>
      <c r="BV788" s="66"/>
      <c r="BW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  <c r="BD789" s="66"/>
      <c r="BE789" s="66"/>
      <c r="BF789" s="66"/>
      <c r="BG789" s="66"/>
      <c r="BH789" s="66"/>
      <c r="BI789" s="66"/>
      <c r="BJ789" s="66"/>
      <c r="BK789" s="66"/>
      <c r="BL789" s="66"/>
      <c r="BM789" s="66"/>
      <c r="BN789" s="66"/>
      <c r="BO789" s="66"/>
      <c r="BP789" s="66"/>
      <c r="BQ789" s="66"/>
      <c r="BR789" s="66"/>
      <c r="BS789" s="66"/>
      <c r="BT789" s="66"/>
      <c r="BU789" s="66"/>
      <c r="BV789" s="66"/>
      <c r="BW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/>
      <c r="BJ790" s="66"/>
      <c r="BK790" s="66"/>
      <c r="BL790" s="66"/>
      <c r="BM790" s="66"/>
      <c r="BN790" s="66"/>
      <c r="BO790" s="66"/>
      <c r="BP790" s="66"/>
      <c r="BQ790" s="66"/>
      <c r="BR790" s="66"/>
      <c r="BS790" s="66"/>
      <c r="BT790" s="66"/>
      <c r="BU790" s="66"/>
      <c r="BV790" s="66"/>
      <c r="BW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  <c r="BD791" s="66"/>
      <c r="BE791" s="66"/>
      <c r="BF791" s="66"/>
      <c r="BG791" s="66"/>
      <c r="BH791" s="66"/>
      <c r="BI791" s="66"/>
      <c r="BJ791" s="66"/>
      <c r="BK791" s="66"/>
      <c r="BL791" s="66"/>
      <c r="BM791" s="66"/>
      <c r="BN791" s="66"/>
      <c r="BO791" s="66"/>
      <c r="BP791" s="66"/>
      <c r="BQ791" s="66"/>
      <c r="BR791" s="66"/>
      <c r="BS791" s="66"/>
      <c r="BT791" s="66"/>
      <c r="BU791" s="66"/>
      <c r="BV791" s="66"/>
      <c r="BW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/>
      <c r="BJ792" s="66"/>
      <c r="BK792" s="66"/>
      <c r="BL792" s="66"/>
      <c r="BM792" s="66"/>
      <c r="BN792" s="66"/>
      <c r="BO792" s="66"/>
      <c r="BP792" s="66"/>
      <c r="BQ792" s="66"/>
      <c r="BR792" s="66"/>
      <c r="BS792" s="66"/>
      <c r="BT792" s="66"/>
      <c r="BU792" s="66"/>
      <c r="BV792" s="66"/>
      <c r="BW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  <c r="BD793" s="66"/>
      <c r="BE793" s="66"/>
      <c r="BF793" s="66"/>
      <c r="BG793" s="66"/>
      <c r="BH793" s="66"/>
      <c r="BI793" s="66"/>
      <c r="BJ793" s="66"/>
      <c r="BK793" s="66"/>
      <c r="BL793" s="66"/>
      <c r="BM793" s="66"/>
      <c r="BN793" s="66"/>
      <c r="BO793" s="66"/>
      <c r="BP793" s="66"/>
      <c r="BQ793" s="66"/>
      <c r="BR793" s="66"/>
      <c r="BS793" s="66"/>
      <c r="BT793" s="66"/>
      <c r="BU793" s="66"/>
      <c r="BV793" s="66"/>
      <c r="BW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/>
      <c r="BJ794" s="66"/>
      <c r="BK794" s="66"/>
      <c r="BL794" s="66"/>
      <c r="BM794" s="66"/>
      <c r="BN794" s="66"/>
      <c r="BO794" s="66"/>
      <c r="BP794" s="66"/>
      <c r="BQ794" s="66"/>
      <c r="BR794" s="66"/>
      <c r="BS794" s="66"/>
      <c r="BT794" s="66"/>
      <c r="BU794" s="66"/>
      <c r="BV794" s="66"/>
      <c r="BW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6"/>
      <c r="BB795" s="66"/>
      <c r="BC795" s="66"/>
      <c r="BD795" s="66"/>
      <c r="BE795" s="66"/>
      <c r="BF795" s="66"/>
      <c r="BG795" s="66"/>
      <c r="BH795" s="66"/>
      <c r="BI795" s="66"/>
      <c r="BJ795" s="66"/>
      <c r="BK795" s="66"/>
      <c r="BL795" s="66"/>
      <c r="BM795" s="66"/>
      <c r="BN795" s="66"/>
      <c r="BO795" s="66"/>
      <c r="BP795" s="66"/>
      <c r="BQ795" s="66"/>
      <c r="BR795" s="66"/>
      <c r="BS795" s="66"/>
      <c r="BT795" s="66"/>
      <c r="BU795" s="66"/>
      <c r="BV795" s="66"/>
      <c r="BW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66"/>
      <c r="AU796" s="66"/>
      <c r="AV796" s="66"/>
      <c r="AW796" s="66"/>
      <c r="AX796" s="66"/>
      <c r="AY796" s="66"/>
      <c r="AZ796" s="66"/>
      <c r="BA796" s="66"/>
      <c r="BB796" s="66"/>
      <c r="BC796" s="66"/>
      <c r="BD796" s="66"/>
      <c r="BE796" s="66"/>
      <c r="BF796" s="66"/>
      <c r="BG796" s="66"/>
      <c r="BH796" s="66"/>
      <c r="BI796" s="66"/>
      <c r="BJ796" s="66"/>
      <c r="BK796" s="66"/>
      <c r="BL796" s="66"/>
      <c r="BM796" s="66"/>
      <c r="BN796" s="66"/>
      <c r="BO796" s="66"/>
      <c r="BP796" s="66"/>
      <c r="BQ796" s="66"/>
      <c r="BR796" s="66"/>
      <c r="BS796" s="66"/>
      <c r="BT796" s="66"/>
      <c r="BU796" s="66"/>
      <c r="BV796" s="66"/>
      <c r="BW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66"/>
      <c r="AU797" s="66"/>
      <c r="AV797" s="66"/>
      <c r="AW797" s="66"/>
      <c r="AX797" s="66"/>
      <c r="AY797" s="66"/>
      <c r="AZ797" s="66"/>
      <c r="BA797" s="66"/>
      <c r="BB797" s="66"/>
      <c r="BC797" s="66"/>
      <c r="BD797" s="66"/>
      <c r="BE797" s="66"/>
      <c r="BF797" s="66"/>
      <c r="BG797" s="66"/>
      <c r="BH797" s="66"/>
      <c r="BI797" s="66"/>
      <c r="BJ797" s="66"/>
      <c r="BK797" s="66"/>
      <c r="BL797" s="66"/>
      <c r="BM797" s="66"/>
      <c r="BN797" s="66"/>
      <c r="BO797" s="66"/>
      <c r="BP797" s="66"/>
      <c r="BQ797" s="66"/>
      <c r="BR797" s="66"/>
      <c r="BS797" s="66"/>
      <c r="BT797" s="66"/>
      <c r="BU797" s="66"/>
      <c r="BV797" s="66"/>
      <c r="BW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66"/>
      <c r="AZ798" s="66"/>
      <c r="BA798" s="66"/>
      <c r="BB798" s="66"/>
      <c r="BC798" s="66"/>
      <c r="BD798" s="66"/>
      <c r="BE798" s="66"/>
      <c r="BF798" s="66"/>
      <c r="BG798" s="66"/>
      <c r="BH798" s="66"/>
      <c r="BI798" s="66"/>
      <c r="BJ798" s="66"/>
      <c r="BK798" s="66"/>
      <c r="BL798" s="66"/>
      <c r="BM798" s="66"/>
      <c r="BN798" s="66"/>
      <c r="BO798" s="66"/>
      <c r="BP798" s="66"/>
      <c r="BQ798" s="66"/>
      <c r="BR798" s="66"/>
      <c r="BS798" s="66"/>
      <c r="BT798" s="66"/>
      <c r="BU798" s="66"/>
      <c r="BV798" s="66"/>
      <c r="BW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66"/>
      <c r="AU799" s="66"/>
      <c r="AV799" s="66"/>
      <c r="AW799" s="66"/>
      <c r="AX799" s="66"/>
      <c r="AY799" s="66"/>
      <c r="AZ799" s="66"/>
      <c r="BA799" s="66"/>
      <c r="BB799" s="66"/>
      <c r="BC799" s="66"/>
      <c r="BD799" s="66"/>
      <c r="BE799" s="66"/>
      <c r="BF799" s="66"/>
      <c r="BG799" s="66"/>
      <c r="BH799" s="66"/>
      <c r="BI799" s="66"/>
      <c r="BJ799" s="66"/>
      <c r="BK799" s="66"/>
      <c r="BL799" s="66"/>
      <c r="BM799" s="66"/>
      <c r="BN799" s="66"/>
      <c r="BO799" s="66"/>
      <c r="BP799" s="66"/>
      <c r="BQ799" s="66"/>
      <c r="BR799" s="66"/>
      <c r="BS799" s="66"/>
      <c r="BT799" s="66"/>
      <c r="BU799" s="66"/>
      <c r="BV799" s="66"/>
      <c r="BW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66"/>
      <c r="AU800" s="66"/>
      <c r="AV800" s="66"/>
      <c r="AW800" s="66"/>
      <c r="AX800" s="66"/>
      <c r="AY800" s="66"/>
      <c r="AZ800" s="66"/>
      <c r="BA800" s="66"/>
      <c r="BB800" s="66"/>
      <c r="BC800" s="66"/>
      <c r="BD800" s="66"/>
      <c r="BE800" s="66"/>
      <c r="BF800" s="66"/>
      <c r="BG800" s="66"/>
      <c r="BH800" s="66"/>
      <c r="BI800" s="66"/>
      <c r="BJ800" s="66"/>
      <c r="BK800" s="66"/>
      <c r="BL800" s="66"/>
      <c r="BM800" s="66"/>
      <c r="BN800" s="66"/>
      <c r="BO800" s="66"/>
      <c r="BP800" s="66"/>
      <c r="BQ800" s="66"/>
      <c r="BR800" s="66"/>
      <c r="BS800" s="66"/>
      <c r="BT800" s="66"/>
      <c r="BU800" s="66"/>
      <c r="BV800" s="66"/>
      <c r="BW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  <c r="AS801" s="66"/>
      <c r="AT801" s="66"/>
      <c r="AU801" s="66"/>
      <c r="AV801" s="66"/>
      <c r="AW801" s="66"/>
      <c r="AX801" s="66"/>
      <c r="AY801" s="66"/>
      <c r="AZ801" s="66"/>
      <c r="BA801" s="66"/>
      <c r="BB801" s="66"/>
      <c r="BC801" s="66"/>
      <c r="BD801" s="66"/>
      <c r="BE801" s="66"/>
      <c r="BF801" s="66"/>
      <c r="BG801" s="66"/>
      <c r="BH801" s="66"/>
      <c r="BI801" s="66"/>
      <c r="BJ801" s="66"/>
      <c r="BK801" s="66"/>
      <c r="BL801" s="66"/>
      <c r="BM801" s="66"/>
      <c r="BN801" s="66"/>
      <c r="BO801" s="66"/>
      <c r="BP801" s="66"/>
      <c r="BQ801" s="66"/>
      <c r="BR801" s="66"/>
      <c r="BS801" s="66"/>
      <c r="BT801" s="66"/>
      <c r="BU801" s="66"/>
      <c r="BV801" s="66"/>
      <c r="BW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66"/>
      <c r="AU802" s="66"/>
      <c r="AV802" s="66"/>
      <c r="AW802" s="66"/>
      <c r="AX802" s="66"/>
      <c r="AY802" s="66"/>
      <c r="AZ802" s="66"/>
      <c r="BA802" s="66"/>
      <c r="BB802" s="66"/>
      <c r="BC802" s="66"/>
      <c r="BD802" s="66"/>
      <c r="BE802" s="66"/>
      <c r="BF802" s="66"/>
      <c r="BG802" s="66"/>
      <c r="BH802" s="66"/>
      <c r="BI802" s="66"/>
      <c r="BJ802" s="66"/>
      <c r="BK802" s="66"/>
      <c r="BL802" s="66"/>
      <c r="BM802" s="66"/>
      <c r="BN802" s="66"/>
      <c r="BO802" s="66"/>
      <c r="BP802" s="66"/>
      <c r="BQ802" s="66"/>
      <c r="BR802" s="66"/>
      <c r="BS802" s="66"/>
      <c r="BT802" s="66"/>
      <c r="BU802" s="66"/>
      <c r="BV802" s="66"/>
      <c r="BW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66"/>
      <c r="AZ803" s="66"/>
      <c r="BA803" s="66"/>
      <c r="BB803" s="66"/>
      <c r="BC803" s="66"/>
      <c r="BD803" s="66"/>
      <c r="BE803" s="66"/>
      <c r="BF803" s="66"/>
      <c r="BG803" s="66"/>
      <c r="BH803" s="66"/>
      <c r="BI803" s="66"/>
      <c r="BJ803" s="66"/>
      <c r="BK803" s="66"/>
      <c r="BL803" s="66"/>
      <c r="BM803" s="66"/>
      <c r="BN803" s="66"/>
      <c r="BO803" s="66"/>
      <c r="BP803" s="66"/>
      <c r="BQ803" s="66"/>
      <c r="BR803" s="66"/>
      <c r="BS803" s="66"/>
      <c r="BT803" s="66"/>
      <c r="BU803" s="66"/>
      <c r="BV803" s="66"/>
      <c r="BW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  <c r="BD804" s="66"/>
      <c r="BE804" s="66"/>
      <c r="BF804" s="66"/>
      <c r="BG804" s="66"/>
      <c r="BH804" s="66"/>
      <c r="BI804" s="66"/>
      <c r="BJ804" s="66"/>
      <c r="BK804" s="66"/>
      <c r="BL804" s="66"/>
      <c r="BM804" s="66"/>
      <c r="BN804" s="66"/>
      <c r="BO804" s="66"/>
      <c r="BP804" s="66"/>
      <c r="BQ804" s="66"/>
      <c r="BR804" s="66"/>
      <c r="BS804" s="66"/>
      <c r="BT804" s="66"/>
      <c r="BU804" s="66"/>
      <c r="BV804" s="66"/>
      <c r="BW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  <c r="AS805" s="66"/>
      <c r="AT805" s="66"/>
      <c r="AU805" s="66"/>
      <c r="AV805" s="66"/>
      <c r="AW805" s="66"/>
      <c r="AX805" s="66"/>
      <c r="AY805" s="66"/>
      <c r="AZ805" s="66"/>
      <c r="BA805" s="66"/>
      <c r="BB805" s="66"/>
      <c r="BC805" s="66"/>
      <c r="BD805" s="66"/>
      <c r="BE805" s="66"/>
      <c r="BF805" s="66"/>
      <c r="BG805" s="66"/>
      <c r="BH805" s="66"/>
      <c r="BI805" s="66"/>
      <c r="BJ805" s="66"/>
      <c r="BK805" s="66"/>
      <c r="BL805" s="66"/>
      <c r="BM805" s="66"/>
      <c r="BN805" s="66"/>
      <c r="BO805" s="66"/>
      <c r="BP805" s="66"/>
      <c r="BQ805" s="66"/>
      <c r="BR805" s="66"/>
      <c r="BS805" s="66"/>
      <c r="BT805" s="66"/>
      <c r="BU805" s="66"/>
      <c r="BV805" s="66"/>
      <c r="BW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66"/>
      <c r="AU806" s="66"/>
      <c r="AV806" s="66"/>
      <c r="AW806" s="66"/>
      <c r="AX806" s="66"/>
      <c r="AY806" s="66"/>
      <c r="AZ806" s="66"/>
      <c r="BA806" s="66"/>
      <c r="BB806" s="66"/>
      <c r="BC806" s="66"/>
      <c r="BD806" s="66"/>
      <c r="BE806" s="66"/>
      <c r="BF806" s="66"/>
      <c r="BG806" s="66"/>
      <c r="BH806" s="66"/>
      <c r="BI806" s="66"/>
      <c r="BJ806" s="66"/>
      <c r="BK806" s="66"/>
      <c r="BL806" s="66"/>
      <c r="BM806" s="66"/>
      <c r="BN806" s="66"/>
      <c r="BO806" s="66"/>
      <c r="BP806" s="66"/>
      <c r="BQ806" s="66"/>
      <c r="BR806" s="66"/>
      <c r="BS806" s="66"/>
      <c r="BT806" s="66"/>
      <c r="BU806" s="66"/>
      <c r="BV806" s="66"/>
      <c r="BW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66"/>
      <c r="AU807" s="66"/>
      <c r="AV807" s="66"/>
      <c r="AW807" s="66"/>
      <c r="AX807" s="66"/>
      <c r="AY807" s="66"/>
      <c r="AZ807" s="66"/>
      <c r="BA807" s="66"/>
      <c r="BB807" s="66"/>
      <c r="BC807" s="66"/>
      <c r="BD807" s="66"/>
      <c r="BE807" s="66"/>
      <c r="BF807" s="66"/>
      <c r="BG807" s="66"/>
      <c r="BH807" s="66"/>
      <c r="BI807" s="66"/>
      <c r="BJ807" s="66"/>
      <c r="BK807" s="66"/>
      <c r="BL807" s="66"/>
      <c r="BM807" s="66"/>
      <c r="BN807" s="66"/>
      <c r="BO807" s="66"/>
      <c r="BP807" s="66"/>
      <c r="BQ807" s="66"/>
      <c r="BR807" s="66"/>
      <c r="BS807" s="66"/>
      <c r="BT807" s="66"/>
      <c r="BU807" s="66"/>
      <c r="BV807" s="66"/>
      <c r="BW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  <c r="BD808" s="66"/>
      <c r="BE808" s="66"/>
      <c r="BF808" s="66"/>
      <c r="BG808" s="66"/>
      <c r="BH808" s="66"/>
      <c r="BI808" s="66"/>
      <c r="BJ808" s="66"/>
      <c r="BK808" s="66"/>
      <c r="BL808" s="66"/>
      <c r="BM808" s="66"/>
      <c r="BN808" s="66"/>
      <c r="BO808" s="66"/>
      <c r="BP808" s="66"/>
      <c r="BQ808" s="66"/>
      <c r="BR808" s="66"/>
      <c r="BS808" s="66"/>
      <c r="BT808" s="66"/>
      <c r="BU808" s="66"/>
      <c r="BV808" s="66"/>
      <c r="BW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66"/>
      <c r="AU809" s="66"/>
      <c r="AV809" s="66"/>
      <c r="AW809" s="66"/>
      <c r="AX809" s="66"/>
      <c r="AY809" s="66"/>
      <c r="AZ809" s="66"/>
      <c r="BA809" s="66"/>
      <c r="BB809" s="66"/>
      <c r="BC809" s="66"/>
      <c r="BD809" s="66"/>
      <c r="BE809" s="66"/>
      <c r="BF809" s="66"/>
      <c r="BG809" s="66"/>
      <c r="BH809" s="66"/>
      <c r="BI809" s="66"/>
      <c r="BJ809" s="66"/>
      <c r="BK809" s="66"/>
      <c r="BL809" s="66"/>
      <c r="BM809" s="66"/>
      <c r="BN809" s="66"/>
      <c r="BO809" s="66"/>
      <c r="BP809" s="66"/>
      <c r="BQ809" s="66"/>
      <c r="BR809" s="66"/>
      <c r="BS809" s="66"/>
      <c r="BT809" s="66"/>
      <c r="BU809" s="66"/>
      <c r="BV809" s="66"/>
      <c r="BW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  <c r="AS810" s="66"/>
      <c r="AT810" s="66"/>
      <c r="AU810" s="66"/>
      <c r="AV810" s="66"/>
      <c r="AW810" s="66"/>
      <c r="AX810" s="66"/>
      <c r="AY810" s="66"/>
      <c r="AZ810" s="66"/>
      <c r="BA810" s="66"/>
      <c r="BB810" s="66"/>
      <c r="BC810" s="66"/>
      <c r="BD810" s="66"/>
      <c r="BE810" s="66"/>
      <c r="BF810" s="66"/>
      <c r="BG810" s="66"/>
      <c r="BH810" s="66"/>
      <c r="BI810" s="66"/>
      <c r="BJ810" s="66"/>
      <c r="BK810" s="66"/>
      <c r="BL810" s="66"/>
      <c r="BM810" s="66"/>
      <c r="BN810" s="66"/>
      <c r="BO810" s="66"/>
      <c r="BP810" s="66"/>
      <c r="BQ810" s="66"/>
      <c r="BR810" s="66"/>
      <c r="BS810" s="66"/>
      <c r="BT810" s="66"/>
      <c r="BU810" s="66"/>
      <c r="BV810" s="66"/>
      <c r="BW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66"/>
      <c r="AU811" s="66"/>
      <c r="AV811" s="66"/>
      <c r="AW811" s="66"/>
      <c r="AX811" s="66"/>
      <c r="AY811" s="66"/>
      <c r="AZ811" s="66"/>
      <c r="BA811" s="66"/>
      <c r="BB811" s="66"/>
      <c r="BC811" s="66"/>
      <c r="BD811" s="66"/>
      <c r="BE811" s="66"/>
      <c r="BF811" s="66"/>
      <c r="BG811" s="66"/>
      <c r="BH811" s="66"/>
      <c r="BI811" s="66"/>
      <c r="BJ811" s="66"/>
      <c r="BK811" s="66"/>
      <c r="BL811" s="66"/>
      <c r="BM811" s="66"/>
      <c r="BN811" s="66"/>
      <c r="BO811" s="66"/>
      <c r="BP811" s="66"/>
      <c r="BQ811" s="66"/>
      <c r="BR811" s="66"/>
      <c r="BS811" s="66"/>
      <c r="BT811" s="66"/>
      <c r="BU811" s="66"/>
      <c r="BV811" s="66"/>
      <c r="BW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/>
      <c r="BJ812" s="66"/>
      <c r="BK812" s="66"/>
      <c r="BL812" s="66"/>
      <c r="BM812" s="66"/>
      <c r="BN812" s="66"/>
      <c r="BO812" s="66"/>
      <c r="BP812" s="66"/>
      <c r="BQ812" s="66"/>
      <c r="BR812" s="66"/>
      <c r="BS812" s="66"/>
      <c r="BT812" s="66"/>
      <c r="BU812" s="66"/>
      <c r="BV812" s="66"/>
      <c r="BW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  <c r="BD813" s="66"/>
      <c r="BE813" s="66"/>
      <c r="BF813" s="66"/>
      <c r="BG813" s="66"/>
      <c r="BH813" s="66"/>
      <c r="BI813" s="66"/>
      <c r="BJ813" s="66"/>
      <c r="BK813" s="66"/>
      <c r="BL813" s="66"/>
      <c r="BM813" s="66"/>
      <c r="BN813" s="66"/>
      <c r="BO813" s="66"/>
      <c r="BP813" s="66"/>
      <c r="BQ813" s="66"/>
      <c r="BR813" s="66"/>
      <c r="BS813" s="66"/>
      <c r="BT813" s="66"/>
      <c r="BU813" s="66"/>
      <c r="BV813" s="66"/>
      <c r="BW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/>
      <c r="AY814" s="66"/>
      <c r="AZ814" s="66"/>
      <c r="BA814" s="66"/>
      <c r="BB814" s="66"/>
      <c r="BC814" s="66"/>
      <c r="BD814" s="66"/>
      <c r="BE814" s="66"/>
      <c r="BF814" s="66"/>
      <c r="BG814" s="66"/>
      <c r="BH814" s="66"/>
      <c r="BI814" s="66"/>
      <c r="BJ814" s="66"/>
      <c r="BK814" s="66"/>
      <c r="BL814" s="66"/>
      <c r="BM814" s="66"/>
      <c r="BN814" s="66"/>
      <c r="BO814" s="66"/>
      <c r="BP814" s="66"/>
      <c r="BQ814" s="66"/>
      <c r="BR814" s="66"/>
      <c r="BS814" s="66"/>
      <c r="BT814" s="66"/>
      <c r="BU814" s="66"/>
      <c r="BV814" s="66"/>
      <c r="BW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  <c r="BC815" s="66"/>
      <c r="BD815" s="66"/>
      <c r="BE815" s="66"/>
      <c r="BF815" s="66"/>
      <c r="BG815" s="66"/>
      <c r="BH815" s="66"/>
      <c r="BI815" s="66"/>
      <c r="BJ815" s="66"/>
      <c r="BK815" s="66"/>
      <c r="BL815" s="66"/>
      <c r="BM815" s="66"/>
      <c r="BN815" s="66"/>
      <c r="BO815" s="66"/>
      <c r="BP815" s="66"/>
      <c r="BQ815" s="66"/>
      <c r="BR815" s="66"/>
      <c r="BS815" s="66"/>
      <c r="BT815" s="66"/>
      <c r="BU815" s="66"/>
      <c r="BV815" s="66"/>
      <c r="BW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  <c r="BC816" s="66"/>
      <c r="BD816" s="66"/>
      <c r="BE816" s="66"/>
      <c r="BF816" s="66"/>
      <c r="BG816" s="66"/>
      <c r="BH816" s="66"/>
      <c r="BI816" s="66"/>
      <c r="BJ816" s="66"/>
      <c r="BK816" s="66"/>
      <c r="BL816" s="66"/>
      <c r="BM816" s="66"/>
      <c r="BN816" s="66"/>
      <c r="BO816" s="66"/>
      <c r="BP816" s="66"/>
      <c r="BQ816" s="66"/>
      <c r="BR816" s="66"/>
      <c r="BS816" s="66"/>
      <c r="BT816" s="66"/>
      <c r="BU816" s="66"/>
      <c r="BV816" s="66"/>
      <c r="BW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  <c r="BC817" s="66"/>
      <c r="BD817" s="66"/>
      <c r="BE817" s="66"/>
      <c r="BF817" s="66"/>
      <c r="BG817" s="66"/>
      <c r="BH817" s="66"/>
      <c r="BI817" s="66"/>
      <c r="BJ817" s="66"/>
      <c r="BK817" s="66"/>
      <c r="BL817" s="66"/>
      <c r="BM817" s="66"/>
      <c r="BN817" s="66"/>
      <c r="BO817" s="66"/>
      <c r="BP817" s="66"/>
      <c r="BQ817" s="66"/>
      <c r="BR817" s="66"/>
      <c r="BS817" s="66"/>
      <c r="BT817" s="66"/>
      <c r="BU817" s="66"/>
      <c r="BV817" s="66"/>
      <c r="BW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  <c r="BC818" s="66"/>
      <c r="BD818" s="66"/>
      <c r="BE818" s="66"/>
      <c r="BF818" s="66"/>
      <c r="BG818" s="66"/>
      <c r="BH818" s="66"/>
      <c r="BI818" s="66"/>
      <c r="BJ818" s="66"/>
      <c r="BK818" s="66"/>
      <c r="BL818" s="66"/>
      <c r="BM818" s="66"/>
      <c r="BN818" s="66"/>
      <c r="BO818" s="66"/>
      <c r="BP818" s="66"/>
      <c r="BQ818" s="66"/>
      <c r="BR818" s="66"/>
      <c r="BS818" s="66"/>
      <c r="BT818" s="66"/>
      <c r="BU818" s="66"/>
      <c r="BV818" s="66"/>
      <c r="BW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  <c r="BC819" s="66"/>
      <c r="BD819" s="66"/>
      <c r="BE819" s="66"/>
      <c r="BF819" s="66"/>
      <c r="BG819" s="66"/>
      <c r="BH819" s="66"/>
      <c r="BI819" s="66"/>
      <c r="BJ819" s="66"/>
      <c r="BK819" s="66"/>
      <c r="BL819" s="66"/>
      <c r="BM819" s="66"/>
      <c r="BN819" s="66"/>
      <c r="BO819" s="66"/>
      <c r="BP819" s="66"/>
      <c r="BQ819" s="66"/>
      <c r="BR819" s="66"/>
      <c r="BS819" s="66"/>
      <c r="BT819" s="66"/>
      <c r="BU819" s="66"/>
      <c r="BV819" s="66"/>
      <c r="BW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  <c r="BC820" s="66"/>
      <c r="BD820" s="66"/>
      <c r="BE820" s="66"/>
      <c r="BF820" s="66"/>
      <c r="BG820" s="66"/>
      <c r="BH820" s="66"/>
      <c r="BI820" s="66"/>
      <c r="BJ820" s="66"/>
      <c r="BK820" s="66"/>
      <c r="BL820" s="66"/>
      <c r="BM820" s="66"/>
      <c r="BN820" s="66"/>
      <c r="BO820" s="66"/>
      <c r="BP820" s="66"/>
      <c r="BQ820" s="66"/>
      <c r="BR820" s="66"/>
      <c r="BS820" s="66"/>
      <c r="BT820" s="66"/>
      <c r="BU820" s="66"/>
      <c r="BV820" s="66"/>
      <c r="BW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  <c r="BC821" s="66"/>
      <c r="BD821" s="66"/>
      <c r="BE821" s="66"/>
      <c r="BF821" s="66"/>
      <c r="BG821" s="66"/>
      <c r="BH821" s="66"/>
      <c r="BI821" s="66"/>
      <c r="BJ821" s="66"/>
      <c r="BK821" s="66"/>
      <c r="BL821" s="66"/>
      <c r="BM821" s="66"/>
      <c r="BN821" s="66"/>
      <c r="BO821" s="66"/>
      <c r="BP821" s="66"/>
      <c r="BQ821" s="66"/>
      <c r="BR821" s="66"/>
      <c r="BS821" s="66"/>
      <c r="BT821" s="66"/>
      <c r="BU821" s="66"/>
      <c r="BV821" s="66"/>
      <c r="BW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  <c r="BC822" s="66"/>
      <c r="BD822" s="66"/>
      <c r="BE822" s="66"/>
      <c r="BF822" s="66"/>
      <c r="BG822" s="66"/>
      <c r="BH822" s="66"/>
      <c r="BI822" s="66"/>
      <c r="BJ822" s="66"/>
      <c r="BK822" s="66"/>
      <c r="BL822" s="66"/>
      <c r="BM822" s="66"/>
      <c r="BN822" s="66"/>
      <c r="BO822" s="66"/>
      <c r="BP822" s="66"/>
      <c r="BQ822" s="66"/>
      <c r="BR822" s="66"/>
      <c r="BS822" s="66"/>
      <c r="BT822" s="66"/>
      <c r="BU822" s="66"/>
      <c r="BV822" s="66"/>
      <c r="BW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/>
      <c r="BJ823" s="66"/>
      <c r="BK823" s="66"/>
      <c r="BL823" s="66"/>
      <c r="BM823" s="66"/>
      <c r="BN823" s="66"/>
      <c r="BO823" s="66"/>
      <c r="BP823" s="66"/>
      <c r="BQ823" s="66"/>
      <c r="BR823" s="66"/>
      <c r="BS823" s="66"/>
      <c r="BT823" s="66"/>
      <c r="BU823" s="66"/>
      <c r="BV823" s="66"/>
      <c r="BW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66"/>
      <c r="AZ824" s="66"/>
      <c r="BA824" s="66"/>
      <c r="BB824" s="66"/>
      <c r="BC824" s="66"/>
      <c r="BD824" s="66"/>
      <c r="BE824" s="66"/>
      <c r="BF824" s="66"/>
      <c r="BG824" s="66"/>
      <c r="BH824" s="66"/>
      <c r="BI824" s="66"/>
      <c r="BJ824" s="66"/>
      <c r="BK824" s="66"/>
      <c r="BL824" s="66"/>
      <c r="BM824" s="66"/>
      <c r="BN824" s="66"/>
      <c r="BO824" s="66"/>
      <c r="BP824" s="66"/>
      <c r="BQ824" s="66"/>
      <c r="BR824" s="66"/>
      <c r="BS824" s="66"/>
      <c r="BT824" s="66"/>
      <c r="BU824" s="66"/>
      <c r="BV824" s="66"/>
      <c r="BW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  <c r="AS825" s="66"/>
      <c r="AT825" s="66"/>
      <c r="AU825" s="66"/>
      <c r="AV825" s="66"/>
      <c r="AW825" s="66"/>
      <c r="AX825" s="66"/>
      <c r="AY825" s="66"/>
      <c r="AZ825" s="66"/>
      <c r="BA825" s="66"/>
      <c r="BB825" s="66"/>
      <c r="BC825" s="66"/>
      <c r="BD825" s="66"/>
      <c r="BE825" s="66"/>
      <c r="BF825" s="66"/>
      <c r="BG825" s="66"/>
      <c r="BH825" s="66"/>
      <c r="BI825" s="66"/>
      <c r="BJ825" s="66"/>
      <c r="BK825" s="66"/>
      <c r="BL825" s="66"/>
      <c r="BM825" s="66"/>
      <c r="BN825" s="66"/>
      <c r="BO825" s="66"/>
      <c r="BP825" s="66"/>
      <c r="BQ825" s="66"/>
      <c r="BR825" s="66"/>
      <c r="BS825" s="66"/>
      <c r="BT825" s="66"/>
      <c r="BU825" s="66"/>
      <c r="BV825" s="66"/>
      <c r="BW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66"/>
      <c r="AU826" s="66"/>
      <c r="AV826" s="66"/>
      <c r="AW826" s="66"/>
      <c r="AX826" s="66"/>
      <c r="AY826" s="66"/>
      <c r="AZ826" s="66"/>
      <c r="BA826" s="66"/>
      <c r="BB826" s="66"/>
      <c r="BC826" s="66"/>
      <c r="BD826" s="66"/>
      <c r="BE826" s="66"/>
      <c r="BF826" s="66"/>
      <c r="BG826" s="66"/>
      <c r="BH826" s="66"/>
      <c r="BI826" s="66"/>
      <c r="BJ826" s="66"/>
      <c r="BK826" s="66"/>
      <c r="BL826" s="66"/>
      <c r="BM826" s="66"/>
      <c r="BN826" s="66"/>
      <c r="BO826" s="66"/>
      <c r="BP826" s="66"/>
      <c r="BQ826" s="66"/>
      <c r="BR826" s="66"/>
      <c r="BS826" s="66"/>
      <c r="BT826" s="66"/>
      <c r="BU826" s="66"/>
      <c r="BV826" s="66"/>
      <c r="BW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66"/>
      <c r="AU827" s="66"/>
      <c r="AV827" s="66"/>
      <c r="AW827" s="66"/>
      <c r="AX827" s="66"/>
      <c r="AY827" s="66"/>
      <c r="AZ827" s="66"/>
      <c r="BA827" s="66"/>
      <c r="BB827" s="66"/>
      <c r="BC827" s="66"/>
      <c r="BD827" s="66"/>
      <c r="BE827" s="66"/>
      <c r="BF827" s="66"/>
      <c r="BG827" s="66"/>
      <c r="BH827" s="66"/>
      <c r="BI827" s="66"/>
      <c r="BJ827" s="66"/>
      <c r="BK827" s="66"/>
      <c r="BL827" s="66"/>
      <c r="BM827" s="66"/>
      <c r="BN827" s="66"/>
      <c r="BO827" s="66"/>
      <c r="BP827" s="66"/>
      <c r="BQ827" s="66"/>
      <c r="BR827" s="66"/>
      <c r="BS827" s="66"/>
      <c r="BT827" s="66"/>
      <c r="BU827" s="66"/>
      <c r="BV827" s="66"/>
      <c r="BW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  <c r="AS828" s="66"/>
      <c r="AT828" s="66"/>
      <c r="AU828" s="66"/>
      <c r="AV828" s="66"/>
      <c r="AW828" s="66"/>
      <c r="AX828" s="66"/>
      <c r="AY828" s="66"/>
      <c r="AZ828" s="66"/>
      <c r="BA828" s="66"/>
      <c r="BB828" s="66"/>
      <c r="BC828" s="66"/>
      <c r="BD828" s="66"/>
      <c r="BE828" s="66"/>
      <c r="BF828" s="66"/>
      <c r="BG828" s="66"/>
      <c r="BH828" s="66"/>
      <c r="BI828" s="66"/>
      <c r="BJ828" s="66"/>
      <c r="BK828" s="66"/>
      <c r="BL828" s="66"/>
      <c r="BM828" s="66"/>
      <c r="BN828" s="66"/>
      <c r="BO828" s="66"/>
      <c r="BP828" s="66"/>
      <c r="BQ828" s="66"/>
      <c r="BR828" s="66"/>
      <c r="BS828" s="66"/>
      <c r="BT828" s="66"/>
      <c r="BU828" s="66"/>
      <c r="BV828" s="66"/>
      <c r="BW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6"/>
      <c r="AS829" s="66"/>
      <c r="AT829" s="66"/>
      <c r="AU829" s="66"/>
      <c r="AV829" s="66"/>
      <c r="AW829" s="66"/>
      <c r="AX829" s="66"/>
      <c r="AY829" s="66"/>
      <c r="AZ829" s="66"/>
      <c r="BA829" s="66"/>
      <c r="BB829" s="66"/>
      <c r="BC829" s="66"/>
      <c r="BD829" s="66"/>
      <c r="BE829" s="66"/>
      <c r="BF829" s="66"/>
      <c r="BG829" s="66"/>
      <c r="BH829" s="66"/>
      <c r="BI829" s="66"/>
      <c r="BJ829" s="66"/>
      <c r="BK829" s="66"/>
      <c r="BL829" s="66"/>
      <c r="BM829" s="66"/>
      <c r="BN829" s="66"/>
      <c r="BO829" s="66"/>
      <c r="BP829" s="66"/>
      <c r="BQ829" s="66"/>
      <c r="BR829" s="66"/>
      <c r="BS829" s="66"/>
      <c r="BT829" s="66"/>
      <c r="BU829" s="66"/>
      <c r="BV829" s="66"/>
      <c r="BW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  <c r="AS830" s="66"/>
      <c r="AT830" s="66"/>
      <c r="AU830" s="66"/>
      <c r="AV830" s="66"/>
      <c r="AW830" s="66"/>
      <c r="AX830" s="66"/>
      <c r="AY830" s="66"/>
      <c r="AZ830" s="66"/>
      <c r="BA830" s="66"/>
      <c r="BB830" s="66"/>
      <c r="BC830" s="66"/>
      <c r="BD830" s="66"/>
      <c r="BE830" s="66"/>
      <c r="BF830" s="66"/>
      <c r="BG830" s="66"/>
      <c r="BH830" s="66"/>
      <c r="BI830" s="66"/>
      <c r="BJ830" s="66"/>
      <c r="BK830" s="66"/>
      <c r="BL830" s="66"/>
      <c r="BM830" s="66"/>
      <c r="BN830" s="66"/>
      <c r="BO830" s="66"/>
      <c r="BP830" s="66"/>
      <c r="BQ830" s="66"/>
      <c r="BR830" s="66"/>
      <c r="BS830" s="66"/>
      <c r="BT830" s="66"/>
      <c r="BU830" s="66"/>
      <c r="BV830" s="66"/>
      <c r="BW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6"/>
      <c r="BB831" s="66"/>
      <c r="BC831" s="66"/>
      <c r="BD831" s="66"/>
      <c r="BE831" s="66"/>
      <c r="BF831" s="66"/>
      <c r="BG831" s="66"/>
      <c r="BH831" s="66"/>
      <c r="BI831" s="66"/>
      <c r="BJ831" s="66"/>
      <c r="BK831" s="66"/>
      <c r="BL831" s="66"/>
      <c r="BM831" s="66"/>
      <c r="BN831" s="66"/>
      <c r="BO831" s="66"/>
      <c r="BP831" s="66"/>
      <c r="BQ831" s="66"/>
      <c r="BR831" s="66"/>
      <c r="BS831" s="66"/>
      <c r="BT831" s="66"/>
      <c r="BU831" s="66"/>
      <c r="BV831" s="66"/>
      <c r="BW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66"/>
      <c r="AU832" s="66"/>
      <c r="AV832" s="66"/>
      <c r="AW832" s="66"/>
      <c r="AX832" s="66"/>
      <c r="AY832" s="66"/>
      <c r="AZ832" s="66"/>
      <c r="BA832" s="66"/>
      <c r="BB832" s="66"/>
      <c r="BC832" s="66"/>
      <c r="BD832" s="66"/>
      <c r="BE832" s="66"/>
      <c r="BF832" s="66"/>
      <c r="BG832" s="66"/>
      <c r="BH832" s="66"/>
      <c r="BI832" s="66"/>
      <c r="BJ832" s="66"/>
      <c r="BK832" s="66"/>
      <c r="BL832" s="66"/>
      <c r="BM832" s="66"/>
      <c r="BN832" s="66"/>
      <c r="BO832" s="66"/>
      <c r="BP832" s="66"/>
      <c r="BQ832" s="66"/>
      <c r="BR832" s="66"/>
      <c r="BS832" s="66"/>
      <c r="BT832" s="66"/>
      <c r="BU832" s="66"/>
      <c r="BV832" s="66"/>
      <c r="BW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66"/>
      <c r="AU833" s="66"/>
      <c r="AV833" s="66"/>
      <c r="AW833" s="66"/>
      <c r="AX833" s="66"/>
      <c r="AY833" s="66"/>
      <c r="AZ833" s="66"/>
      <c r="BA833" s="66"/>
      <c r="BB833" s="66"/>
      <c r="BC833" s="66"/>
      <c r="BD833" s="66"/>
      <c r="BE833" s="66"/>
      <c r="BF833" s="66"/>
      <c r="BG833" s="66"/>
      <c r="BH833" s="66"/>
      <c r="BI833" s="66"/>
      <c r="BJ833" s="66"/>
      <c r="BK833" s="66"/>
      <c r="BL833" s="66"/>
      <c r="BM833" s="66"/>
      <c r="BN833" s="66"/>
      <c r="BO833" s="66"/>
      <c r="BP833" s="66"/>
      <c r="BQ833" s="66"/>
      <c r="BR833" s="66"/>
      <c r="BS833" s="66"/>
      <c r="BT833" s="66"/>
      <c r="BU833" s="66"/>
      <c r="BV833" s="66"/>
      <c r="BW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  <c r="AR834" s="66"/>
      <c r="AS834" s="66"/>
      <c r="AT834" s="66"/>
      <c r="AU834" s="66"/>
      <c r="AV834" s="66"/>
      <c r="AW834" s="66"/>
      <c r="AX834" s="66"/>
      <c r="AY834" s="66"/>
      <c r="AZ834" s="66"/>
      <c r="BA834" s="66"/>
      <c r="BB834" s="66"/>
      <c r="BC834" s="66"/>
      <c r="BD834" s="66"/>
      <c r="BE834" s="66"/>
      <c r="BF834" s="66"/>
      <c r="BG834" s="66"/>
      <c r="BH834" s="66"/>
      <c r="BI834" s="66"/>
      <c r="BJ834" s="66"/>
      <c r="BK834" s="66"/>
      <c r="BL834" s="66"/>
      <c r="BM834" s="66"/>
      <c r="BN834" s="66"/>
      <c r="BO834" s="66"/>
      <c r="BP834" s="66"/>
      <c r="BQ834" s="66"/>
      <c r="BR834" s="66"/>
      <c r="BS834" s="66"/>
      <c r="BT834" s="66"/>
      <c r="BU834" s="66"/>
      <c r="BV834" s="66"/>
      <c r="BW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  <c r="AS835" s="66"/>
      <c r="AT835" s="66"/>
      <c r="AU835" s="66"/>
      <c r="AV835" s="66"/>
      <c r="AW835" s="66"/>
      <c r="AX835" s="66"/>
      <c r="AY835" s="66"/>
      <c r="AZ835" s="66"/>
      <c r="BA835" s="66"/>
      <c r="BB835" s="66"/>
      <c r="BC835" s="66"/>
      <c r="BD835" s="66"/>
      <c r="BE835" s="66"/>
      <c r="BF835" s="66"/>
      <c r="BG835" s="66"/>
      <c r="BH835" s="66"/>
      <c r="BI835" s="66"/>
      <c r="BJ835" s="66"/>
      <c r="BK835" s="66"/>
      <c r="BL835" s="66"/>
      <c r="BM835" s="66"/>
      <c r="BN835" s="66"/>
      <c r="BO835" s="66"/>
      <c r="BP835" s="66"/>
      <c r="BQ835" s="66"/>
      <c r="BR835" s="66"/>
      <c r="BS835" s="66"/>
      <c r="BT835" s="66"/>
      <c r="BU835" s="66"/>
      <c r="BV835" s="66"/>
      <c r="BW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66"/>
      <c r="AU836" s="66"/>
      <c r="AV836" s="66"/>
      <c r="AW836" s="66"/>
      <c r="AX836" s="66"/>
      <c r="AY836" s="66"/>
      <c r="AZ836" s="66"/>
      <c r="BA836" s="66"/>
      <c r="BB836" s="66"/>
      <c r="BC836" s="66"/>
      <c r="BD836" s="66"/>
      <c r="BE836" s="66"/>
      <c r="BF836" s="66"/>
      <c r="BG836" s="66"/>
      <c r="BH836" s="66"/>
      <c r="BI836" s="66"/>
      <c r="BJ836" s="66"/>
      <c r="BK836" s="66"/>
      <c r="BL836" s="66"/>
      <c r="BM836" s="66"/>
      <c r="BN836" s="66"/>
      <c r="BO836" s="66"/>
      <c r="BP836" s="66"/>
      <c r="BQ836" s="66"/>
      <c r="BR836" s="66"/>
      <c r="BS836" s="66"/>
      <c r="BT836" s="66"/>
      <c r="BU836" s="66"/>
      <c r="BV836" s="66"/>
      <c r="BW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6"/>
      <c r="AS837" s="66"/>
      <c r="AT837" s="66"/>
      <c r="AU837" s="66"/>
      <c r="AV837" s="66"/>
      <c r="AW837" s="66"/>
      <c r="AX837" s="66"/>
      <c r="AY837" s="66"/>
      <c r="AZ837" s="66"/>
      <c r="BA837" s="66"/>
      <c r="BB837" s="66"/>
      <c r="BC837" s="66"/>
      <c r="BD837" s="66"/>
      <c r="BE837" s="66"/>
      <c r="BF837" s="66"/>
      <c r="BG837" s="66"/>
      <c r="BH837" s="66"/>
      <c r="BI837" s="66"/>
      <c r="BJ837" s="66"/>
      <c r="BK837" s="66"/>
      <c r="BL837" s="66"/>
      <c r="BM837" s="66"/>
      <c r="BN837" s="66"/>
      <c r="BO837" s="66"/>
      <c r="BP837" s="66"/>
      <c r="BQ837" s="66"/>
      <c r="BR837" s="66"/>
      <c r="BS837" s="66"/>
      <c r="BT837" s="66"/>
      <c r="BU837" s="66"/>
      <c r="BV837" s="66"/>
      <c r="BW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  <c r="AR838" s="66"/>
      <c r="AS838" s="66"/>
      <c r="AT838" s="66"/>
      <c r="AU838" s="66"/>
      <c r="AV838" s="66"/>
      <c r="AW838" s="66"/>
      <c r="AX838" s="66"/>
      <c r="AY838" s="66"/>
      <c r="AZ838" s="66"/>
      <c r="BA838" s="66"/>
      <c r="BB838" s="66"/>
      <c r="BC838" s="66"/>
      <c r="BD838" s="66"/>
      <c r="BE838" s="66"/>
      <c r="BF838" s="66"/>
      <c r="BG838" s="66"/>
      <c r="BH838" s="66"/>
      <c r="BI838" s="66"/>
      <c r="BJ838" s="66"/>
      <c r="BK838" s="66"/>
      <c r="BL838" s="66"/>
      <c r="BM838" s="66"/>
      <c r="BN838" s="66"/>
      <c r="BO838" s="66"/>
      <c r="BP838" s="66"/>
      <c r="BQ838" s="66"/>
      <c r="BR838" s="66"/>
      <c r="BS838" s="66"/>
      <c r="BT838" s="66"/>
      <c r="BU838" s="66"/>
      <c r="BV838" s="66"/>
      <c r="BW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  <c r="AS839" s="66"/>
      <c r="AT839" s="66"/>
      <c r="AU839" s="66"/>
      <c r="AV839" s="66"/>
      <c r="AW839" s="66"/>
      <c r="AX839" s="66"/>
      <c r="AY839" s="66"/>
      <c r="AZ839" s="66"/>
      <c r="BA839" s="66"/>
      <c r="BB839" s="66"/>
      <c r="BC839" s="66"/>
      <c r="BD839" s="66"/>
      <c r="BE839" s="66"/>
      <c r="BF839" s="66"/>
      <c r="BG839" s="66"/>
      <c r="BH839" s="66"/>
      <c r="BI839" s="66"/>
      <c r="BJ839" s="66"/>
      <c r="BK839" s="66"/>
      <c r="BL839" s="66"/>
      <c r="BM839" s="66"/>
      <c r="BN839" s="66"/>
      <c r="BO839" s="66"/>
      <c r="BP839" s="66"/>
      <c r="BQ839" s="66"/>
      <c r="BR839" s="66"/>
      <c r="BS839" s="66"/>
      <c r="BT839" s="66"/>
      <c r="BU839" s="66"/>
      <c r="BV839" s="66"/>
      <c r="BW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6"/>
      <c r="BB840" s="66"/>
      <c r="BC840" s="66"/>
      <c r="BD840" s="66"/>
      <c r="BE840" s="66"/>
      <c r="BF840" s="66"/>
      <c r="BG840" s="66"/>
      <c r="BH840" s="66"/>
      <c r="BI840" s="66"/>
      <c r="BJ840" s="66"/>
      <c r="BK840" s="66"/>
      <c r="BL840" s="66"/>
      <c r="BM840" s="66"/>
      <c r="BN840" s="66"/>
      <c r="BO840" s="66"/>
      <c r="BP840" s="66"/>
      <c r="BQ840" s="66"/>
      <c r="BR840" s="66"/>
      <c r="BS840" s="66"/>
      <c r="BT840" s="66"/>
      <c r="BU840" s="66"/>
      <c r="BV840" s="66"/>
      <c r="BW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66"/>
      <c r="AU841" s="66"/>
      <c r="AV841" s="66"/>
      <c r="AW841" s="66"/>
      <c r="AX841" s="66"/>
      <c r="AY841" s="66"/>
      <c r="AZ841" s="66"/>
      <c r="BA841" s="66"/>
      <c r="BB841" s="66"/>
      <c r="BC841" s="66"/>
      <c r="BD841" s="66"/>
      <c r="BE841" s="66"/>
      <c r="BF841" s="66"/>
      <c r="BG841" s="66"/>
      <c r="BH841" s="66"/>
      <c r="BI841" s="66"/>
      <c r="BJ841" s="66"/>
      <c r="BK841" s="66"/>
      <c r="BL841" s="66"/>
      <c r="BM841" s="66"/>
      <c r="BN841" s="66"/>
      <c r="BO841" s="66"/>
      <c r="BP841" s="66"/>
      <c r="BQ841" s="66"/>
      <c r="BR841" s="66"/>
      <c r="BS841" s="66"/>
      <c r="BT841" s="66"/>
      <c r="BU841" s="66"/>
      <c r="BV841" s="66"/>
      <c r="BW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  <c r="AS842" s="66"/>
      <c r="AT842" s="66"/>
      <c r="AU842" s="66"/>
      <c r="AV842" s="66"/>
      <c r="AW842" s="66"/>
      <c r="AX842" s="66"/>
      <c r="AY842" s="66"/>
      <c r="AZ842" s="66"/>
      <c r="BA842" s="66"/>
      <c r="BB842" s="66"/>
      <c r="BC842" s="66"/>
      <c r="BD842" s="66"/>
      <c r="BE842" s="66"/>
      <c r="BF842" s="66"/>
      <c r="BG842" s="66"/>
      <c r="BH842" s="66"/>
      <c r="BI842" s="66"/>
      <c r="BJ842" s="66"/>
      <c r="BK842" s="66"/>
      <c r="BL842" s="66"/>
      <c r="BM842" s="66"/>
      <c r="BN842" s="66"/>
      <c r="BO842" s="66"/>
      <c r="BP842" s="66"/>
      <c r="BQ842" s="66"/>
      <c r="BR842" s="66"/>
      <c r="BS842" s="66"/>
      <c r="BT842" s="66"/>
      <c r="BU842" s="66"/>
      <c r="BV842" s="66"/>
      <c r="BW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  <c r="AS843" s="66"/>
      <c r="AT843" s="66"/>
      <c r="AU843" s="66"/>
      <c r="AV843" s="66"/>
      <c r="AW843" s="66"/>
      <c r="AX843" s="66"/>
      <c r="AY843" s="66"/>
      <c r="AZ843" s="66"/>
      <c r="BA843" s="66"/>
      <c r="BB843" s="66"/>
      <c r="BC843" s="66"/>
      <c r="BD843" s="66"/>
      <c r="BE843" s="66"/>
      <c r="BF843" s="66"/>
      <c r="BG843" s="66"/>
      <c r="BH843" s="66"/>
      <c r="BI843" s="66"/>
      <c r="BJ843" s="66"/>
      <c r="BK843" s="66"/>
      <c r="BL843" s="66"/>
      <c r="BM843" s="66"/>
      <c r="BN843" s="66"/>
      <c r="BO843" s="66"/>
      <c r="BP843" s="66"/>
      <c r="BQ843" s="66"/>
      <c r="BR843" s="66"/>
      <c r="BS843" s="66"/>
      <c r="BT843" s="66"/>
      <c r="BU843" s="66"/>
      <c r="BV843" s="66"/>
      <c r="BW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66"/>
      <c r="AZ844" s="66"/>
      <c r="BA844" s="66"/>
      <c r="BB844" s="66"/>
      <c r="BC844" s="66"/>
      <c r="BD844" s="66"/>
      <c r="BE844" s="66"/>
      <c r="BF844" s="66"/>
      <c r="BG844" s="66"/>
      <c r="BH844" s="66"/>
      <c r="BI844" s="66"/>
      <c r="BJ844" s="66"/>
      <c r="BK844" s="66"/>
      <c r="BL844" s="66"/>
      <c r="BM844" s="66"/>
      <c r="BN844" s="66"/>
      <c r="BO844" s="66"/>
      <c r="BP844" s="66"/>
      <c r="BQ844" s="66"/>
      <c r="BR844" s="66"/>
      <c r="BS844" s="66"/>
      <c r="BT844" s="66"/>
      <c r="BU844" s="66"/>
      <c r="BV844" s="66"/>
      <c r="BW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66"/>
      <c r="AZ845" s="66"/>
      <c r="BA845" s="66"/>
      <c r="BB845" s="66"/>
      <c r="BC845" s="66"/>
      <c r="BD845" s="66"/>
      <c r="BE845" s="66"/>
      <c r="BF845" s="66"/>
      <c r="BG845" s="66"/>
      <c r="BH845" s="66"/>
      <c r="BI845" s="66"/>
      <c r="BJ845" s="66"/>
      <c r="BK845" s="66"/>
      <c r="BL845" s="66"/>
      <c r="BM845" s="66"/>
      <c r="BN845" s="66"/>
      <c r="BO845" s="66"/>
      <c r="BP845" s="66"/>
      <c r="BQ845" s="66"/>
      <c r="BR845" s="66"/>
      <c r="BS845" s="66"/>
      <c r="BT845" s="66"/>
      <c r="BU845" s="66"/>
      <c r="BV845" s="66"/>
      <c r="BW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  <c r="AS846" s="66"/>
      <c r="AT846" s="66"/>
      <c r="AU846" s="66"/>
      <c r="AV846" s="66"/>
      <c r="AW846" s="66"/>
      <c r="AX846" s="66"/>
      <c r="AY846" s="66"/>
      <c r="AZ846" s="66"/>
      <c r="BA846" s="66"/>
      <c r="BB846" s="66"/>
      <c r="BC846" s="66"/>
      <c r="BD846" s="66"/>
      <c r="BE846" s="66"/>
      <c r="BF846" s="66"/>
      <c r="BG846" s="66"/>
      <c r="BH846" s="66"/>
      <c r="BI846" s="66"/>
      <c r="BJ846" s="66"/>
      <c r="BK846" s="66"/>
      <c r="BL846" s="66"/>
      <c r="BM846" s="66"/>
      <c r="BN846" s="66"/>
      <c r="BO846" s="66"/>
      <c r="BP846" s="66"/>
      <c r="BQ846" s="66"/>
      <c r="BR846" s="66"/>
      <c r="BS846" s="66"/>
      <c r="BT846" s="66"/>
      <c r="BU846" s="66"/>
      <c r="BV846" s="66"/>
      <c r="BW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66"/>
      <c r="AU847" s="66"/>
      <c r="AV847" s="66"/>
      <c r="AW847" s="66"/>
      <c r="AX847" s="66"/>
      <c r="AY847" s="66"/>
      <c r="AZ847" s="66"/>
      <c r="BA847" s="66"/>
      <c r="BB847" s="66"/>
      <c r="BC847" s="66"/>
      <c r="BD847" s="66"/>
      <c r="BE847" s="66"/>
      <c r="BF847" s="66"/>
      <c r="BG847" s="66"/>
      <c r="BH847" s="66"/>
      <c r="BI847" s="66"/>
      <c r="BJ847" s="66"/>
      <c r="BK847" s="66"/>
      <c r="BL847" s="66"/>
      <c r="BM847" s="66"/>
      <c r="BN847" s="66"/>
      <c r="BO847" s="66"/>
      <c r="BP847" s="66"/>
      <c r="BQ847" s="66"/>
      <c r="BR847" s="66"/>
      <c r="BS847" s="66"/>
      <c r="BT847" s="66"/>
      <c r="BU847" s="66"/>
      <c r="BV847" s="66"/>
      <c r="BW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  <c r="AS848" s="66"/>
      <c r="AT848" s="66"/>
      <c r="AU848" s="66"/>
      <c r="AV848" s="66"/>
      <c r="AW848" s="66"/>
      <c r="AX848" s="66"/>
      <c r="AY848" s="66"/>
      <c r="AZ848" s="66"/>
      <c r="BA848" s="66"/>
      <c r="BB848" s="66"/>
      <c r="BC848" s="66"/>
      <c r="BD848" s="66"/>
      <c r="BE848" s="66"/>
      <c r="BF848" s="66"/>
      <c r="BG848" s="66"/>
      <c r="BH848" s="66"/>
      <c r="BI848" s="66"/>
      <c r="BJ848" s="66"/>
      <c r="BK848" s="66"/>
      <c r="BL848" s="66"/>
      <c r="BM848" s="66"/>
      <c r="BN848" s="66"/>
      <c r="BO848" s="66"/>
      <c r="BP848" s="66"/>
      <c r="BQ848" s="66"/>
      <c r="BR848" s="66"/>
      <c r="BS848" s="66"/>
      <c r="BT848" s="66"/>
      <c r="BU848" s="66"/>
      <c r="BV848" s="66"/>
      <c r="BW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6"/>
      <c r="BB849" s="66"/>
      <c r="BC849" s="66"/>
      <c r="BD849" s="66"/>
      <c r="BE849" s="66"/>
      <c r="BF849" s="66"/>
      <c r="BG849" s="66"/>
      <c r="BH849" s="66"/>
      <c r="BI849" s="66"/>
      <c r="BJ849" s="66"/>
      <c r="BK849" s="66"/>
      <c r="BL849" s="66"/>
      <c r="BM849" s="66"/>
      <c r="BN849" s="66"/>
      <c r="BO849" s="66"/>
      <c r="BP849" s="66"/>
      <c r="BQ849" s="66"/>
      <c r="BR849" s="66"/>
      <c r="BS849" s="66"/>
      <c r="BT849" s="66"/>
      <c r="BU849" s="66"/>
      <c r="BV849" s="66"/>
      <c r="BW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66"/>
      <c r="AZ850" s="66"/>
      <c r="BA850" s="66"/>
      <c r="BB850" s="66"/>
      <c r="BC850" s="66"/>
      <c r="BD850" s="66"/>
      <c r="BE850" s="66"/>
      <c r="BF850" s="66"/>
      <c r="BG850" s="66"/>
      <c r="BH850" s="66"/>
      <c r="BI850" s="66"/>
      <c r="BJ850" s="66"/>
      <c r="BK850" s="66"/>
      <c r="BL850" s="66"/>
      <c r="BM850" s="66"/>
      <c r="BN850" s="66"/>
      <c r="BO850" s="66"/>
      <c r="BP850" s="66"/>
      <c r="BQ850" s="66"/>
      <c r="BR850" s="66"/>
      <c r="BS850" s="66"/>
      <c r="BT850" s="66"/>
      <c r="BU850" s="66"/>
      <c r="BV850" s="66"/>
      <c r="BW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  <c r="AS851" s="66"/>
      <c r="AT851" s="66"/>
      <c r="AU851" s="66"/>
      <c r="AV851" s="66"/>
      <c r="AW851" s="66"/>
      <c r="AX851" s="66"/>
      <c r="AY851" s="66"/>
      <c r="AZ851" s="66"/>
      <c r="BA851" s="66"/>
      <c r="BB851" s="66"/>
      <c r="BC851" s="66"/>
      <c r="BD851" s="66"/>
      <c r="BE851" s="66"/>
      <c r="BF851" s="66"/>
      <c r="BG851" s="66"/>
      <c r="BH851" s="66"/>
      <c r="BI851" s="66"/>
      <c r="BJ851" s="66"/>
      <c r="BK851" s="66"/>
      <c r="BL851" s="66"/>
      <c r="BM851" s="66"/>
      <c r="BN851" s="66"/>
      <c r="BO851" s="66"/>
      <c r="BP851" s="66"/>
      <c r="BQ851" s="66"/>
      <c r="BR851" s="66"/>
      <c r="BS851" s="66"/>
      <c r="BT851" s="66"/>
      <c r="BU851" s="66"/>
      <c r="BV851" s="66"/>
      <c r="BW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  <c r="BD852" s="66"/>
      <c r="BE852" s="66"/>
      <c r="BF852" s="66"/>
      <c r="BG852" s="66"/>
      <c r="BH852" s="66"/>
      <c r="BI852" s="66"/>
      <c r="BJ852" s="66"/>
      <c r="BK852" s="66"/>
      <c r="BL852" s="66"/>
      <c r="BM852" s="66"/>
      <c r="BN852" s="66"/>
      <c r="BO852" s="66"/>
      <c r="BP852" s="66"/>
      <c r="BQ852" s="66"/>
      <c r="BR852" s="66"/>
      <c r="BS852" s="66"/>
      <c r="BT852" s="66"/>
      <c r="BU852" s="66"/>
      <c r="BV852" s="66"/>
      <c r="BW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66"/>
      <c r="AU853" s="66"/>
      <c r="AV853" s="66"/>
      <c r="AW853" s="66"/>
      <c r="AX853" s="66"/>
      <c r="AY853" s="66"/>
      <c r="AZ853" s="66"/>
      <c r="BA853" s="66"/>
      <c r="BB853" s="66"/>
      <c r="BC853" s="66"/>
      <c r="BD853" s="66"/>
      <c r="BE853" s="66"/>
      <c r="BF853" s="66"/>
      <c r="BG853" s="66"/>
      <c r="BH853" s="66"/>
      <c r="BI853" s="66"/>
      <c r="BJ853" s="66"/>
      <c r="BK853" s="66"/>
      <c r="BL853" s="66"/>
      <c r="BM853" s="66"/>
      <c r="BN853" s="66"/>
      <c r="BO853" s="66"/>
      <c r="BP853" s="66"/>
      <c r="BQ853" s="66"/>
      <c r="BR853" s="66"/>
      <c r="BS853" s="66"/>
      <c r="BT853" s="66"/>
      <c r="BU853" s="66"/>
      <c r="BV853" s="66"/>
      <c r="BW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66"/>
      <c r="AU854" s="66"/>
      <c r="AV854" s="66"/>
      <c r="AW854" s="66"/>
      <c r="AX854" s="66"/>
      <c r="AY854" s="66"/>
      <c r="AZ854" s="66"/>
      <c r="BA854" s="66"/>
      <c r="BB854" s="66"/>
      <c r="BC854" s="66"/>
      <c r="BD854" s="66"/>
      <c r="BE854" s="66"/>
      <c r="BF854" s="66"/>
      <c r="BG854" s="66"/>
      <c r="BH854" s="66"/>
      <c r="BI854" s="66"/>
      <c r="BJ854" s="66"/>
      <c r="BK854" s="66"/>
      <c r="BL854" s="66"/>
      <c r="BM854" s="66"/>
      <c r="BN854" s="66"/>
      <c r="BO854" s="66"/>
      <c r="BP854" s="66"/>
      <c r="BQ854" s="66"/>
      <c r="BR854" s="66"/>
      <c r="BS854" s="66"/>
      <c r="BT854" s="66"/>
      <c r="BU854" s="66"/>
      <c r="BV854" s="66"/>
      <c r="BW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66"/>
      <c r="AZ855" s="66"/>
      <c r="BA855" s="66"/>
      <c r="BB855" s="66"/>
      <c r="BC855" s="66"/>
      <c r="BD855" s="66"/>
      <c r="BE855" s="66"/>
      <c r="BF855" s="66"/>
      <c r="BG855" s="66"/>
      <c r="BH855" s="66"/>
      <c r="BI855" s="66"/>
      <c r="BJ855" s="66"/>
      <c r="BK855" s="66"/>
      <c r="BL855" s="66"/>
      <c r="BM855" s="66"/>
      <c r="BN855" s="66"/>
      <c r="BO855" s="66"/>
      <c r="BP855" s="66"/>
      <c r="BQ855" s="66"/>
      <c r="BR855" s="66"/>
      <c r="BS855" s="66"/>
      <c r="BT855" s="66"/>
      <c r="BU855" s="66"/>
      <c r="BV855" s="66"/>
      <c r="BW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66"/>
      <c r="AU856" s="66"/>
      <c r="AV856" s="66"/>
      <c r="AW856" s="66"/>
      <c r="AX856" s="66"/>
      <c r="AY856" s="66"/>
      <c r="AZ856" s="66"/>
      <c r="BA856" s="66"/>
      <c r="BB856" s="66"/>
      <c r="BC856" s="66"/>
      <c r="BD856" s="66"/>
      <c r="BE856" s="66"/>
      <c r="BF856" s="66"/>
      <c r="BG856" s="66"/>
      <c r="BH856" s="66"/>
      <c r="BI856" s="66"/>
      <c r="BJ856" s="66"/>
      <c r="BK856" s="66"/>
      <c r="BL856" s="66"/>
      <c r="BM856" s="66"/>
      <c r="BN856" s="66"/>
      <c r="BO856" s="66"/>
      <c r="BP856" s="66"/>
      <c r="BQ856" s="66"/>
      <c r="BR856" s="66"/>
      <c r="BS856" s="66"/>
      <c r="BT856" s="66"/>
      <c r="BU856" s="66"/>
      <c r="BV856" s="66"/>
      <c r="BW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66"/>
      <c r="AU857" s="66"/>
      <c r="AV857" s="66"/>
      <c r="AW857" s="66"/>
      <c r="AX857" s="66"/>
      <c r="AY857" s="66"/>
      <c r="AZ857" s="66"/>
      <c r="BA857" s="66"/>
      <c r="BB857" s="66"/>
      <c r="BC857" s="66"/>
      <c r="BD857" s="66"/>
      <c r="BE857" s="66"/>
      <c r="BF857" s="66"/>
      <c r="BG857" s="66"/>
      <c r="BH857" s="66"/>
      <c r="BI857" s="66"/>
      <c r="BJ857" s="66"/>
      <c r="BK857" s="66"/>
      <c r="BL857" s="66"/>
      <c r="BM857" s="66"/>
      <c r="BN857" s="66"/>
      <c r="BO857" s="66"/>
      <c r="BP857" s="66"/>
      <c r="BQ857" s="66"/>
      <c r="BR857" s="66"/>
      <c r="BS857" s="66"/>
      <c r="BT857" s="66"/>
      <c r="BU857" s="66"/>
      <c r="BV857" s="66"/>
      <c r="BW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6"/>
      <c r="BB858" s="66"/>
      <c r="BC858" s="66"/>
      <c r="BD858" s="66"/>
      <c r="BE858" s="66"/>
      <c r="BF858" s="66"/>
      <c r="BG858" s="66"/>
      <c r="BH858" s="66"/>
      <c r="BI858" s="66"/>
      <c r="BJ858" s="66"/>
      <c r="BK858" s="66"/>
      <c r="BL858" s="66"/>
      <c r="BM858" s="66"/>
      <c r="BN858" s="66"/>
      <c r="BO858" s="66"/>
      <c r="BP858" s="66"/>
      <c r="BQ858" s="66"/>
      <c r="BR858" s="66"/>
      <c r="BS858" s="66"/>
      <c r="BT858" s="66"/>
      <c r="BU858" s="66"/>
      <c r="BV858" s="66"/>
      <c r="BW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  <c r="BD859" s="66"/>
      <c r="BE859" s="66"/>
      <c r="BF859" s="66"/>
      <c r="BG859" s="66"/>
      <c r="BH859" s="66"/>
      <c r="BI859" s="66"/>
      <c r="BJ859" s="66"/>
      <c r="BK859" s="66"/>
      <c r="BL859" s="66"/>
      <c r="BM859" s="66"/>
      <c r="BN859" s="66"/>
      <c r="BO859" s="66"/>
      <c r="BP859" s="66"/>
      <c r="BQ859" s="66"/>
      <c r="BR859" s="66"/>
      <c r="BS859" s="66"/>
      <c r="BT859" s="66"/>
      <c r="BU859" s="66"/>
      <c r="BV859" s="66"/>
      <c r="BW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/>
      <c r="BJ860" s="66"/>
      <c r="BK860" s="66"/>
      <c r="BL860" s="66"/>
      <c r="BM860" s="66"/>
      <c r="BN860" s="66"/>
      <c r="BO860" s="66"/>
      <c r="BP860" s="66"/>
      <c r="BQ860" s="66"/>
      <c r="BR860" s="66"/>
      <c r="BS860" s="66"/>
      <c r="BT860" s="66"/>
      <c r="BU860" s="66"/>
      <c r="BV860" s="66"/>
      <c r="BW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  <c r="BD861" s="66"/>
      <c r="BE861" s="66"/>
      <c r="BF861" s="66"/>
      <c r="BG861" s="66"/>
      <c r="BH861" s="66"/>
      <c r="BI861" s="66"/>
      <c r="BJ861" s="66"/>
      <c r="BK861" s="66"/>
      <c r="BL861" s="66"/>
      <c r="BM861" s="66"/>
      <c r="BN861" s="66"/>
      <c r="BO861" s="66"/>
      <c r="BP861" s="66"/>
      <c r="BQ861" s="66"/>
      <c r="BR861" s="66"/>
      <c r="BS861" s="66"/>
      <c r="BT861" s="66"/>
      <c r="BU861" s="66"/>
      <c r="BV861" s="66"/>
      <c r="BW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  <c r="BC862" s="66"/>
      <c r="BD862" s="66"/>
      <c r="BE862" s="66"/>
      <c r="BF862" s="66"/>
      <c r="BG862" s="66"/>
      <c r="BH862" s="66"/>
      <c r="BI862" s="66"/>
      <c r="BJ862" s="66"/>
      <c r="BK862" s="66"/>
      <c r="BL862" s="66"/>
      <c r="BM862" s="66"/>
      <c r="BN862" s="66"/>
      <c r="BO862" s="66"/>
      <c r="BP862" s="66"/>
      <c r="BQ862" s="66"/>
      <c r="BR862" s="66"/>
      <c r="BS862" s="66"/>
      <c r="BT862" s="66"/>
      <c r="BU862" s="66"/>
      <c r="BV862" s="66"/>
      <c r="BW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66"/>
      <c r="AZ863" s="66"/>
      <c r="BA863" s="66"/>
      <c r="BB863" s="66"/>
      <c r="BC863" s="66"/>
      <c r="BD863" s="66"/>
      <c r="BE863" s="66"/>
      <c r="BF863" s="66"/>
      <c r="BG863" s="66"/>
      <c r="BH863" s="66"/>
      <c r="BI863" s="66"/>
      <c r="BJ863" s="66"/>
      <c r="BK863" s="66"/>
      <c r="BL863" s="66"/>
      <c r="BM863" s="66"/>
      <c r="BN863" s="66"/>
      <c r="BO863" s="66"/>
      <c r="BP863" s="66"/>
      <c r="BQ863" s="66"/>
      <c r="BR863" s="66"/>
      <c r="BS863" s="66"/>
      <c r="BT863" s="66"/>
      <c r="BU863" s="66"/>
      <c r="BV863" s="66"/>
      <c r="BW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66"/>
      <c r="AU864" s="66"/>
      <c r="AV864" s="66"/>
      <c r="AW864" s="66"/>
      <c r="AX864" s="66"/>
      <c r="AY864" s="66"/>
      <c r="AZ864" s="66"/>
      <c r="BA864" s="66"/>
      <c r="BB864" s="66"/>
      <c r="BC864" s="66"/>
      <c r="BD864" s="66"/>
      <c r="BE864" s="66"/>
      <c r="BF864" s="66"/>
      <c r="BG864" s="66"/>
      <c r="BH864" s="66"/>
      <c r="BI864" s="66"/>
      <c r="BJ864" s="66"/>
      <c r="BK864" s="66"/>
      <c r="BL864" s="66"/>
      <c r="BM864" s="66"/>
      <c r="BN864" s="66"/>
      <c r="BO864" s="66"/>
      <c r="BP864" s="66"/>
      <c r="BQ864" s="66"/>
      <c r="BR864" s="66"/>
      <c r="BS864" s="66"/>
      <c r="BT864" s="66"/>
      <c r="BU864" s="66"/>
      <c r="BV864" s="66"/>
      <c r="BW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66"/>
      <c r="AU865" s="66"/>
      <c r="AV865" s="66"/>
      <c r="AW865" s="66"/>
      <c r="AX865" s="66"/>
      <c r="AY865" s="66"/>
      <c r="AZ865" s="66"/>
      <c r="BA865" s="66"/>
      <c r="BB865" s="66"/>
      <c r="BC865" s="66"/>
      <c r="BD865" s="66"/>
      <c r="BE865" s="66"/>
      <c r="BF865" s="66"/>
      <c r="BG865" s="66"/>
      <c r="BH865" s="66"/>
      <c r="BI865" s="66"/>
      <c r="BJ865" s="66"/>
      <c r="BK865" s="66"/>
      <c r="BL865" s="66"/>
      <c r="BM865" s="66"/>
      <c r="BN865" s="66"/>
      <c r="BO865" s="66"/>
      <c r="BP865" s="66"/>
      <c r="BQ865" s="66"/>
      <c r="BR865" s="66"/>
      <c r="BS865" s="66"/>
      <c r="BT865" s="66"/>
      <c r="BU865" s="66"/>
      <c r="BV865" s="66"/>
      <c r="BW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  <c r="BD866" s="66"/>
      <c r="BE866" s="66"/>
      <c r="BF866" s="66"/>
      <c r="BG866" s="66"/>
      <c r="BH866" s="66"/>
      <c r="BI866" s="66"/>
      <c r="BJ866" s="66"/>
      <c r="BK866" s="66"/>
      <c r="BL866" s="66"/>
      <c r="BM866" s="66"/>
      <c r="BN866" s="66"/>
      <c r="BO866" s="66"/>
      <c r="BP866" s="66"/>
      <c r="BQ866" s="66"/>
      <c r="BR866" s="66"/>
      <c r="BS866" s="66"/>
      <c r="BT866" s="66"/>
      <c r="BU866" s="66"/>
      <c r="BV866" s="66"/>
      <c r="BW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6"/>
      <c r="BB867" s="66"/>
      <c r="BC867" s="66"/>
      <c r="BD867" s="66"/>
      <c r="BE867" s="66"/>
      <c r="BF867" s="66"/>
      <c r="BG867" s="66"/>
      <c r="BH867" s="66"/>
      <c r="BI867" s="66"/>
      <c r="BJ867" s="66"/>
      <c r="BK867" s="66"/>
      <c r="BL867" s="66"/>
      <c r="BM867" s="66"/>
      <c r="BN867" s="66"/>
      <c r="BO867" s="66"/>
      <c r="BP867" s="66"/>
      <c r="BQ867" s="66"/>
      <c r="BR867" s="66"/>
      <c r="BS867" s="66"/>
      <c r="BT867" s="66"/>
      <c r="BU867" s="66"/>
      <c r="BV867" s="66"/>
      <c r="BW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/>
      <c r="BJ868" s="66"/>
      <c r="BK868" s="66"/>
      <c r="BL868" s="66"/>
      <c r="BM868" s="66"/>
      <c r="BN868" s="66"/>
      <c r="BO868" s="66"/>
      <c r="BP868" s="66"/>
      <c r="BQ868" s="66"/>
      <c r="BR868" s="66"/>
      <c r="BS868" s="66"/>
      <c r="BT868" s="66"/>
      <c r="BU868" s="66"/>
      <c r="BV868" s="66"/>
      <c r="BW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66"/>
      <c r="AZ869" s="66"/>
      <c r="BA869" s="66"/>
      <c r="BB869" s="66"/>
      <c r="BC869" s="66"/>
      <c r="BD869" s="66"/>
      <c r="BE869" s="66"/>
      <c r="BF869" s="66"/>
      <c r="BG869" s="66"/>
      <c r="BH869" s="66"/>
      <c r="BI869" s="66"/>
      <c r="BJ869" s="66"/>
      <c r="BK869" s="66"/>
      <c r="BL869" s="66"/>
      <c r="BM869" s="66"/>
      <c r="BN869" s="66"/>
      <c r="BO869" s="66"/>
      <c r="BP869" s="66"/>
      <c r="BQ869" s="66"/>
      <c r="BR869" s="66"/>
      <c r="BS869" s="66"/>
      <c r="BT869" s="66"/>
      <c r="BU869" s="66"/>
      <c r="BV869" s="66"/>
      <c r="BW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/>
      <c r="BJ870" s="66"/>
      <c r="BK870" s="66"/>
      <c r="BL870" s="66"/>
      <c r="BM870" s="66"/>
      <c r="BN870" s="66"/>
      <c r="BO870" s="66"/>
      <c r="BP870" s="66"/>
      <c r="BQ870" s="66"/>
      <c r="BR870" s="66"/>
      <c r="BS870" s="66"/>
      <c r="BT870" s="66"/>
      <c r="BU870" s="66"/>
      <c r="BV870" s="66"/>
      <c r="BW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  <c r="BD871" s="66"/>
      <c r="BE871" s="66"/>
      <c r="BF871" s="66"/>
      <c r="BG871" s="66"/>
      <c r="BH871" s="66"/>
      <c r="BI871" s="66"/>
      <c r="BJ871" s="66"/>
      <c r="BK871" s="66"/>
      <c r="BL871" s="66"/>
      <c r="BM871" s="66"/>
      <c r="BN871" s="66"/>
      <c r="BO871" s="66"/>
      <c r="BP871" s="66"/>
      <c r="BQ871" s="66"/>
      <c r="BR871" s="66"/>
      <c r="BS871" s="66"/>
      <c r="BT871" s="66"/>
      <c r="BU871" s="66"/>
      <c r="BV871" s="66"/>
      <c r="BW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/>
      <c r="BJ872" s="66"/>
      <c r="BK872" s="66"/>
      <c r="BL872" s="66"/>
      <c r="BM872" s="66"/>
      <c r="BN872" s="66"/>
      <c r="BO872" s="66"/>
      <c r="BP872" s="66"/>
      <c r="BQ872" s="66"/>
      <c r="BR872" s="66"/>
      <c r="BS872" s="66"/>
      <c r="BT872" s="66"/>
      <c r="BU872" s="66"/>
      <c r="BV872" s="66"/>
      <c r="BW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/>
      <c r="BJ873" s="66"/>
      <c r="BK873" s="66"/>
      <c r="BL873" s="66"/>
      <c r="BM873" s="66"/>
      <c r="BN873" s="66"/>
      <c r="BO873" s="66"/>
      <c r="BP873" s="66"/>
      <c r="BQ873" s="66"/>
      <c r="BR873" s="66"/>
      <c r="BS873" s="66"/>
      <c r="BT873" s="66"/>
      <c r="BU873" s="66"/>
      <c r="BV873" s="66"/>
      <c r="BW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/>
      <c r="BJ874" s="66"/>
      <c r="BK874" s="66"/>
      <c r="BL874" s="66"/>
      <c r="BM874" s="66"/>
      <c r="BN874" s="66"/>
      <c r="BO874" s="66"/>
      <c r="BP874" s="66"/>
      <c r="BQ874" s="66"/>
      <c r="BR874" s="66"/>
      <c r="BS874" s="66"/>
      <c r="BT874" s="66"/>
      <c r="BU874" s="66"/>
      <c r="BV874" s="66"/>
      <c r="BW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  <c r="BD875" s="66"/>
      <c r="BE875" s="66"/>
      <c r="BF875" s="66"/>
      <c r="BG875" s="66"/>
      <c r="BH875" s="66"/>
      <c r="BI875" s="66"/>
      <c r="BJ875" s="66"/>
      <c r="BK875" s="66"/>
      <c r="BL875" s="66"/>
      <c r="BM875" s="66"/>
      <c r="BN875" s="66"/>
      <c r="BO875" s="66"/>
      <c r="BP875" s="66"/>
      <c r="BQ875" s="66"/>
      <c r="BR875" s="66"/>
      <c r="BS875" s="66"/>
      <c r="BT875" s="66"/>
      <c r="BU875" s="66"/>
      <c r="BV875" s="66"/>
      <c r="BW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  <c r="BD876" s="66"/>
      <c r="BE876" s="66"/>
      <c r="BF876" s="66"/>
      <c r="BG876" s="66"/>
      <c r="BH876" s="66"/>
      <c r="BI876" s="66"/>
      <c r="BJ876" s="66"/>
      <c r="BK876" s="66"/>
      <c r="BL876" s="66"/>
      <c r="BM876" s="66"/>
      <c r="BN876" s="66"/>
      <c r="BO876" s="66"/>
      <c r="BP876" s="66"/>
      <c r="BQ876" s="66"/>
      <c r="BR876" s="66"/>
      <c r="BS876" s="66"/>
      <c r="BT876" s="66"/>
      <c r="BU876" s="66"/>
      <c r="BV876" s="66"/>
      <c r="BW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  <c r="BD877" s="66"/>
      <c r="BE877" s="66"/>
      <c r="BF877" s="66"/>
      <c r="BG877" s="66"/>
      <c r="BH877" s="66"/>
      <c r="BI877" s="66"/>
      <c r="BJ877" s="66"/>
      <c r="BK877" s="66"/>
      <c r="BL877" s="66"/>
      <c r="BM877" s="66"/>
      <c r="BN877" s="66"/>
      <c r="BO877" s="66"/>
      <c r="BP877" s="66"/>
      <c r="BQ877" s="66"/>
      <c r="BR877" s="66"/>
      <c r="BS877" s="66"/>
      <c r="BT877" s="66"/>
      <c r="BU877" s="66"/>
      <c r="BV877" s="66"/>
      <c r="BW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/>
      <c r="BJ878" s="66"/>
      <c r="BK878" s="66"/>
      <c r="BL878" s="66"/>
      <c r="BM878" s="66"/>
      <c r="BN878" s="66"/>
      <c r="BO878" s="66"/>
      <c r="BP878" s="66"/>
      <c r="BQ878" s="66"/>
      <c r="BR878" s="66"/>
      <c r="BS878" s="66"/>
      <c r="BT878" s="66"/>
      <c r="BU878" s="66"/>
      <c r="BV878" s="66"/>
      <c r="BW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  <c r="BD879" s="66"/>
      <c r="BE879" s="66"/>
      <c r="BF879" s="66"/>
      <c r="BG879" s="66"/>
      <c r="BH879" s="66"/>
      <c r="BI879" s="66"/>
      <c r="BJ879" s="66"/>
      <c r="BK879" s="66"/>
      <c r="BL879" s="66"/>
      <c r="BM879" s="66"/>
      <c r="BN879" s="66"/>
      <c r="BO879" s="66"/>
      <c r="BP879" s="66"/>
      <c r="BQ879" s="66"/>
      <c r="BR879" s="66"/>
      <c r="BS879" s="66"/>
      <c r="BT879" s="66"/>
      <c r="BU879" s="66"/>
      <c r="BV879" s="66"/>
      <c r="BW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/>
      <c r="BJ880" s="66"/>
      <c r="BK880" s="66"/>
      <c r="BL880" s="66"/>
      <c r="BM880" s="66"/>
      <c r="BN880" s="66"/>
      <c r="BO880" s="66"/>
      <c r="BP880" s="66"/>
      <c r="BQ880" s="66"/>
      <c r="BR880" s="66"/>
      <c r="BS880" s="66"/>
      <c r="BT880" s="66"/>
      <c r="BU880" s="66"/>
      <c r="BV880" s="66"/>
      <c r="BW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66"/>
      <c r="AU881" s="66"/>
      <c r="AV881" s="66"/>
      <c r="AW881" s="66"/>
      <c r="AX881" s="66"/>
      <c r="AY881" s="66"/>
      <c r="AZ881" s="66"/>
      <c r="BA881" s="66"/>
      <c r="BB881" s="66"/>
      <c r="BC881" s="66"/>
      <c r="BD881" s="66"/>
      <c r="BE881" s="66"/>
      <c r="BF881" s="66"/>
      <c r="BG881" s="66"/>
      <c r="BH881" s="66"/>
      <c r="BI881" s="66"/>
      <c r="BJ881" s="66"/>
      <c r="BK881" s="66"/>
      <c r="BL881" s="66"/>
      <c r="BM881" s="66"/>
      <c r="BN881" s="66"/>
      <c r="BO881" s="66"/>
      <c r="BP881" s="66"/>
      <c r="BQ881" s="66"/>
      <c r="BR881" s="66"/>
      <c r="BS881" s="66"/>
      <c r="BT881" s="66"/>
      <c r="BU881" s="66"/>
      <c r="BV881" s="66"/>
      <c r="BW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66"/>
      <c r="AU882" s="66"/>
      <c r="AV882" s="66"/>
      <c r="AW882" s="66"/>
      <c r="AX882" s="66"/>
      <c r="AY882" s="66"/>
      <c r="AZ882" s="66"/>
      <c r="BA882" s="66"/>
      <c r="BB882" s="66"/>
      <c r="BC882" s="66"/>
      <c r="BD882" s="66"/>
      <c r="BE882" s="66"/>
      <c r="BF882" s="66"/>
      <c r="BG882" s="66"/>
      <c r="BH882" s="66"/>
      <c r="BI882" s="66"/>
      <c r="BJ882" s="66"/>
      <c r="BK882" s="66"/>
      <c r="BL882" s="66"/>
      <c r="BM882" s="66"/>
      <c r="BN882" s="66"/>
      <c r="BO882" s="66"/>
      <c r="BP882" s="66"/>
      <c r="BQ882" s="66"/>
      <c r="BR882" s="66"/>
      <c r="BS882" s="66"/>
      <c r="BT882" s="66"/>
      <c r="BU882" s="66"/>
      <c r="BV882" s="66"/>
      <c r="BW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66"/>
      <c r="AU883" s="66"/>
      <c r="AV883" s="66"/>
      <c r="AW883" s="66"/>
      <c r="AX883" s="66"/>
      <c r="AY883" s="66"/>
      <c r="AZ883" s="66"/>
      <c r="BA883" s="66"/>
      <c r="BB883" s="66"/>
      <c r="BC883" s="66"/>
      <c r="BD883" s="66"/>
      <c r="BE883" s="66"/>
      <c r="BF883" s="66"/>
      <c r="BG883" s="66"/>
      <c r="BH883" s="66"/>
      <c r="BI883" s="66"/>
      <c r="BJ883" s="66"/>
      <c r="BK883" s="66"/>
      <c r="BL883" s="66"/>
      <c r="BM883" s="66"/>
      <c r="BN883" s="66"/>
      <c r="BO883" s="66"/>
      <c r="BP883" s="66"/>
      <c r="BQ883" s="66"/>
      <c r="BR883" s="66"/>
      <c r="BS883" s="66"/>
      <c r="BT883" s="66"/>
      <c r="BU883" s="66"/>
      <c r="BV883" s="66"/>
      <c r="BW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66"/>
      <c r="AU884" s="66"/>
      <c r="AV884" s="66"/>
      <c r="AW884" s="66"/>
      <c r="AX884" s="66"/>
      <c r="AY884" s="66"/>
      <c r="AZ884" s="66"/>
      <c r="BA884" s="66"/>
      <c r="BB884" s="66"/>
      <c r="BC884" s="66"/>
      <c r="BD884" s="66"/>
      <c r="BE884" s="66"/>
      <c r="BF884" s="66"/>
      <c r="BG884" s="66"/>
      <c r="BH884" s="66"/>
      <c r="BI884" s="66"/>
      <c r="BJ884" s="66"/>
      <c r="BK884" s="66"/>
      <c r="BL884" s="66"/>
      <c r="BM884" s="66"/>
      <c r="BN884" s="66"/>
      <c r="BO884" s="66"/>
      <c r="BP884" s="66"/>
      <c r="BQ884" s="66"/>
      <c r="BR884" s="66"/>
      <c r="BS884" s="66"/>
      <c r="BT884" s="66"/>
      <c r="BU884" s="66"/>
      <c r="BV884" s="66"/>
      <c r="BW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/>
      <c r="BJ885" s="66"/>
      <c r="BK885" s="66"/>
      <c r="BL885" s="66"/>
      <c r="BM885" s="66"/>
      <c r="BN885" s="66"/>
      <c r="BO885" s="66"/>
      <c r="BP885" s="66"/>
      <c r="BQ885" s="66"/>
      <c r="BR885" s="66"/>
      <c r="BS885" s="66"/>
      <c r="BT885" s="66"/>
      <c r="BU885" s="66"/>
      <c r="BV885" s="66"/>
      <c r="BW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66"/>
      <c r="AU886" s="66"/>
      <c r="AV886" s="66"/>
      <c r="AW886" s="66"/>
      <c r="AX886" s="66"/>
      <c r="AY886" s="66"/>
      <c r="AZ886" s="66"/>
      <c r="BA886" s="66"/>
      <c r="BB886" s="66"/>
      <c r="BC886" s="66"/>
      <c r="BD886" s="66"/>
      <c r="BE886" s="66"/>
      <c r="BF886" s="66"/>
      <c r="BG886" s="66"/>
      <c r="BH886" s="66"/>
      <c r="BI886" s="66"/>
      <c r="BJ886" s="66"/>
      <c r="BK886" s="66"/>
      <c r="BL886" s="66"/>
      <c r="BM886" s="66"/>
      <c r="BN886" s="66"/>
      <c r="BO886" s="66"/>
      <c r="BP886" s="66"/>
      <c r="BQ886" s="66"/>
      <c r="BR886" s="66"/>
      <c r="BS886" s="66"/>
      <c r="BT886" s="66"/>
      <c r="BU886" s="66"/>
      <c r="BV886" s="66"/>
      <c r="BW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66"/>
      <c r="AU887" s="66"/>
      <c r="AV887" s="66"/>
      <c r="AW887" s="66"/>
      <c r="AX887" s="66"/>
      <c r="AY887" s="66"/>
      <c r="AZ887" s="66"/>
      <c r="BA887" s="66"/>
      <c r="BB887" s="66"/>
      <c r="BC887" s="66"/>
      <c r="BD887" s="66"/>
      <c r="BE887" s="66"/>
      <c r="BF887" s="66"/>
      <c r="BG887" s="66"/>
      <c r="BH887" s="66"/>
      <c r="BI887" s="66"/>
      <c r="BJ887" s="66"/>
      <c r="BK887" s="66"/>
      <c r="BL887" s="66"/>
      <c r="BM887" s="66"/>
      <c r="BN887" s="66"/>
      <c r="BO887" s="66"/>
      <c r="BP887" s="66"/>
      <c r="BQ887" s="66"/>
      <c r="BR887" s="66"/>
      <c r="BS887" s="66"/>
      <c r="BT887" s="66"/>
      <c r="BU887" s="66"/>
      <c r="BV887" s="66"/>
      <c r="BW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66"/>
      <c r="AZ888" s="66"/>
      <c r="BA888" s="66"/>
      <c r="BB888" s="66"/>
      <c r="BC888" s="66"/>
      <c r="BD888" s="66"/>
      <c r="BE888" s="66"/>
      <c r="BF888" s="66"/>
      <c r="BG888" s="66"/>
      <c r="BH888" s="66"/>
      <c r="BI888" s="66"/>
      <c r="BJ888" s="66"/>
      <c r="BK888" s="66"/>
      <c r="BL888" s="66"/>
      <c r="BM888" s="66"/>
      <c r="BN888" s="66"/>
      <c r="BO888" s="66"/>
      <c r="BP888" s="66"/>
      <c r="BQ888" s="66"/>
      <c r="BR888" s="66"/>
      <c r="BS888" s="66"/>
      <c r="BT888" s="66"/>
      <c r="BU888" s="66"/>
      <c r="BV888" s="66"/>
      <c r="BW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  <c r="AS889" s="66"/>
      <c r="AT889" s="66"/>
      <c r="AU889" s="66"/>
      <c r="AV889" s="66"/>
      <c r="AW889" s="66"/>
      <c r="AX889" s="66"/>
      <c r="AY889" s="66"/>
      <c r="AZ889" s="66"/>
      <c r="BA889" s="66"/>
      <c r="BB889" s="66"/>
      <c r="BC889" s="66"/>
      <c r="BD889" s="66"/>
      <c r="BE889" s="66"/>
      <c r="BF889" s="66"/>
      <c r="BG889" s="66"/>
      <c r="BH889" s="66"/>
      <c r="BI889" s="66"/>
      <c r="BJ889" s="66"/>
      <c r="BK889" s="66"/>
      <c r="BL889" s="66"/>
      <c r="BM889" s="66"/>
      <c r="BN889" s="66"/>
      <c r="BO889" s="66"/>
      <c r="BP889" s="66"/>
      <c r="BQ889" s="66"/>
      <c r="BR889" s="66"/>
      <c r="BS889" s="66"/>
      <c r="BT889" s="66"/>
      <c r="BU889" s="66"/>
      <c r="BV889" s="66"/>
      <c r="BW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66"/>
      <c r="AU890" s="66"/>
      <c r="AV890" s="66"/>
      <c r="AW890" s="66"/>
      <c r="AX890" s="66"/>
      <c r="AY890" s="66"/>
      <c r="AZ890" s="66"/>
      <c r="BA890" s="66"/>
      <c r="BB890" s="66"/>
      <c r="BC890" s="66"/>
      <c r="BD890" s="66"/>
      <c r="BE890" s="66"/>
      <c r="BF890" s="66"/>
      <c r="BG890" s="66"/>
      <c r="BH890" s="66"/>
      <c r="BI890" s="66"/>
      <c r="BJ890" s="66"/>
      <c r="BK890" s="66"/>
      <c r="BL890" s="66"/>
      <c r="BM890" s="66"/>
      <c r="BN890" s="66"/>
      <c r="BO890" s="66"/>
      <c r="BP890" s="66"/>
      <c r="BQ890" s="66"/>
      <c r="BR890" s="66"/>
      <c r="BS890" s="66"/>
      <c r="BT890" s="66"/>
      <c r="BU890" s="66"/>
      <c r="BV890" s="66"/>
      <c r="BW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66"/>
      <c r="AU891" s="66"/>
      <c r="AV891" s="66"/>
      <c r="AW891" s="66"/>
      <c r="AX891" s="66"/>
      <c r="AY891" s="66"/>
      <c r="AZ891" s="66"/>
      <c r="BA891" s="66"/>
      <c r="BB891" s="66"/>
      <c r="BC891" s="66"/>
      <c r="BD891" s="66"/>
      <c r="BE891" s="66"/>
      <c r="BF891" s="66"/>
      <c r="BG891" s="66"/>
      <c r="BH891" s="66"/>
      <c r="BI891" s="66"/>
      <c r="BJ891" s="66"/>
      <c r="BK891" s="66"/>
      <c r="BL891" s="66"/>
      <c r="BM891" s="66"/>
      <c r="BN891" s="66"/>
      <c r="BO891" s="66"/>
      <c r="BP891" s="66"/>
      <c r="BQ891" s="66"/>
      <c r="BR891" s="66"/>
      <c r="BS891" s="66"/>
      <c r="BT891" s="66"/>
      <c r="BU891" s="66"/>
      <c r="BV891" s="66"/>
      <c r="BW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66"/>
      <c r="AU892" s="66"/>
      <c r="AV892" s="66"/>
      <c r="AW892" s="66"/>
      <c r="AX892" s="66"/>
      <c r="AY892" s="66"/>
      <c r="AZ892" s="66"/>
      <c r="BA892" s="66"/>
      <c r="BB892" s="66"/>
      <c r="BC892" s="66"/>
      <c r="BD892" s="66"/>
      <c r="BE892" s="66"/>
      <c r="BF892" s="66"/>
      <c r="BG892" s="66"/>
      <c r="BH892" s="66"/>
      <c r="BI892" s="66"/>
      <c r="BJ892" s="66"/>
      <c r="BK892" s="66"/>
      <c r="BL892" s="66"/>
      <c r="BM892" s="66"/>
      <c r="BN892" s="66"/>
      <c r="BO892" s="66"/>
      <c r="BP892" s="66"/>
      <c r="BQ892" s="66"/>
      <c r="BR892" s="66"/>
      <c r="BS892" s="66"/>
      <c r="BT892" s="66"/>
      <c r="BU892" s="66"/>
      <c r="BV892" s="66"/>
      <c r="BW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66"/>
      <c r="AU893" s="66"/>
      <c r="AV893" s="66"/>
      <c r="AW893" s="66"/>
      <c r="AX893" s="66"/>
      <c r="AY893" s="66"/>
      <c r="AZ893" s="66"/>
      <c r="BA893" s="66"/>
      <c r="BB893" s="66"/>
      <c r="BC893" s="66"/>
      <c r="BD893" s="66"/>
      <c r="BE893" s="66"/>
      <c r="BF893" s="66"/>
      <c r="BG893" s="66"/>
      <c r="BH893" s="66"/>
      <c r="BI893" s="66"/>
      <c r="BJ893" s="66"/>
      <c r="BK893" s="66"/>
      <c r="BL893" s="66"/>
      <c r="BM893" s="66"/>
      <c r="BN893" s="66"/>
      <c r="BO893" s="66"/>
      <c r="BP893" s="66"/>
      <c r="BQ893" s="66"/>
      <c r="BR893" s="66"/>
      <c r="BS893" s="66"/>
      <c r="BT893" s="66"/>
      <c r="BU893" s="66"/>
      <c r="BV893" s="66"/>
      <c r="BW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66"/>
      <c r="AZ894" s="66"/>
      <c r="BA894" s="66"/>
      <c r="BB894" s="66"/>
      <c r="BC894" s="66"/>
      <c r="BD894" s="66"/>
      <c r="BE894" s="66"/>
      <c r="BF894" s="66"/>
      <c r="BG894" s="66"/>
      <c r="BH894" s="66"/>
      <c r="BI894" s="66"/>
      <c r="BJ894" s="66"/>
      <c r="BK894" s="66"/>
      <c r="BL894" s="66"/>
      <c r="BM894" s="66"/>
      <c r="BN894" s="66"/>
      <c r="BO894" s="66"/>
      <c r="BP894" s="66"/>
      <c r="BQ894" s="66"/>
      <c r="BR894" s="66"/>
      <c r="BS894" s="66"/>
      <c r="BT894" s="66"/>
      <c r="BU894" s="66"/>
      <c r="BV894" s="66"/>
      <c r="BW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66"/>
      <c r="AU895" s="66"/>
      <c r="AV895" s="66"/>
      <c r="AW895" s="66"/>
      <c r="AX895" s="66"/>
      <c r="AY895" s="66"/>
      <c r="AZ895" s="66"/>
      <c r="BA895" s="66"/>
      <c r="BB895" s="66"/>
      <c r="BC895" s="66"/>
      <c r="BD895" s="66"/>
      <c r="BE895" s="66"/>
      <c r="BF895" s="66"/>
      <c r="BG895" s="66"/>
      <c r="BH895" s="66"/>
      <c r="BI895" s="66"/>
      <c r="BJ895" s="66"/>
      <c r="BK895" s="66"/>
      <c r="BL895" s="66"/>
      <c r="BM895" s="66"/>
      <c r="BN895" s="66"/>
      <c r="BO895" s="66"/>
      <c r="BP895" s="66"/>
      <c r="BQ895" s="66"/>
      <c r="BR895" s="66"/>
      <c r="BS895" s="66"/>
      <c r="BT895" s="66"/>
      <c r="BU895" s="66"/>
      <c r="BV895" s="66"/>
      <c r="BW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  <c r="BD896" s="66"/>
      <c r="BE896" s="66"/>
      <c r="BF896" s="66"/>
      <c r="BG896" s="66"/>
      <c r="BH896" s="66"/>
      <c r="BI896" s="66"/>
      <c r="BJ896" s="66"/>
      <c r="BK896" s="66"/>
      <c r="BL896" s="66"/>
      <c r="BM896" s="66"/>
      <c r="BN896" s="66"/>
      <c r="BO896" s="66"/>
      <c r="BP896" s="66"/>
      <c r="BQ896" s="66"/>
      <c r="BR896" s="66"/>
      <c r="BS896" s="66"/>
      <c r="BT896" s="66"/>
      <c r="BU896" s="66"/>
      <c r="BV896" s="66"/>
      <c r="BW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/>
      <c r="BJ897" s="66"/>
      <c r="BK897" s="66"/>
      <c r="BL897" s="66"/>
      <c r="BM897" s="66"/>
      <c r="BN897" s="66"/>
      <c r="BO897" s="66"/>
      <c r="BP897" s="66"/>
      <c r="BQ897" s="66"/>
      <c r="BR897" s="66"/>
      <c r="BS897" s="66"/>
      <c r="BT897" s="66"/>
      <c r="BU897" s="66"/>
      <c r="BV897" s="66"/>
      <c r="BW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  <c r="BD898" s="66"/>
      <c r="BE898" s="66"/>
      <c r="BF898" s="66"/>
      <c r="BG898" s="66"/>
      <c r="BH898" s="66"/>
      <c r="BI898" s="66"/>
      <c r="BJ898" s="66"/>
      <c r="BK898" s="66"/>
      <c r="BL898" s="66"/>
      <c r="BM898" s="66"/>
      <c r="BN898" s="66"/>
      <c r="BO898" s="66"/>
      <c r="BP898" s="66"/>
      <c r="BQ898" s="66"/>
      <c r="BR898" s="66"/>
      <c r="BS898" s="66"/>
      <c r="BT898" s="66"/>
      <c r="BU898" s="66"/>
      <c r="BV898" s="66"/>
      <c r="BW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/>
      <c r="BJ899" s="66"/>
      <c r="BK899" s="66"/>
      <c r="BL899" s="66"/>
      <c r="BM899" s="66"/>
      <c r="BN899" s="66"/>
      <c r="BO899" s="66"/>
      <c r="BP899" s="66"/>
      <c r="BQ899" s="66"/>
      <c r="BR899" s="66"/>
      <c r="BS899" s="66"/>
      <c r="BT899" s="66"/>
      <c r="BU899" s="66"/>
      <c r="BV899" s="66"/>
      <c r="BW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66"/>
      <c r="AU900" s="66"/>
      <c r="AV900" s="66"/>
      <c r="AW900" s="66"/>
      <c r="AX900" s="66"/>
      <c r="AY900" s="66"/>
      <c r="AZ900" s="66"/>
      <c r="BA900" s="66"/>
      <c r="BB900" s="66"/>
      <c r="BC900" s="66"/>
      <c r="BD900" s="66"/>
      <c r="BE900" s="66"/>
      <c r="BF900" s="66"/>
      <c r="BG900" s="66"/>
      <c r="BH900" s="66"/>
      <c r="BI900" s="66"/>
      <c r="BJ900" s="66"/>
      <c r="BK900" s="66"/>
      <c r="BL900" s="66"/>
      <c r="BM900" s="66"/>
      <c r="BN900" s="66"/>
      <c r="BO900" s="66"/>
      <c r="BP900" s="66"/>
      <c r="BQ900" s="66"/>
      <c r="BR900" s="66"/>
      <c r="BS900" s="66"/>
      <c r="BT900" s="66"/>
      <c r="BU900" s="66"/>
      <c r="BV900" s="66"/>
      <c r="BW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66"/>
      <c r="AU901" s="66"/>
      <c r="AV901" s="66"/>
      <c r="AW901" s="66"/>
      <c r="AX901" s="66"/>
      <c r="AY901" s="66"/>
      <c r="AZ901" s="66"/>
      <c r="BA901" s="66"/>
      <c r="BB901" s="66"/>
      <c r="BC901" s="66"/>
      <c r="BD901" s="66"/>
      <c r="BE901" s="66"/>
      <c r="BF901" s="66"/>
      <c r="BG901" s="66"/>
      <c r="BH901" s="66"/>
      <c r="BI901" s="66"/>
      <c r="BJ901" s="66"/>
      <c r="BK901" s="66"/>
      <c r="BL901" s="66"/>
      <c r="BM901" s="66"/>
      <c r="BN901" s="66"/>
      <c r="BO901" s="66"/>
      <c r="BP901" s="66"/>
      <c r="BQ901" s="66"/>
      <c r="BR901" s="66"/>
      <c r="BS901" s="66"/>
      <c r="BT901" s="66"/>
      <c r="BU901" s="66"/>
      <c r="BV901" s="66"/>
      <c r="BW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66"/>
      <c r="AZ902" s="66"/>
      <c r="BA902" s="66"/>
      <c r="BB902" s="66"/>
      <c r="BC902" s="66"/>
      <c r="BD902" s="66"/>
      <c r="BE902" s="66"/>
      <c r="BF902" s="66"/>
      <c r="BG902" s="66"/>
      <c r="BH902" s="66"/>
      <c r="BI902" s="66"/>
      <c r="BJ902" s="66"/>
      <c r="BK902" s="66"/>
      <c r="BL902" s="66"/>
      <c r="BM902" s="66"/>
      <c r="BN902" s="66"/>
      <c r="BO902" s="66"/>
      <c r="BP902" s="66"/>
      <c r="BQ902" s="66"/>
      <c r="BR902" s="66"/>
      <c r="BS902" s="66"/>
      <c r="BT902" s="66"/>
      <c r="BU902" s="66"/>
      <c r="BV902" s="66"/>
      <c r="BW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66"/>
      <c r="AU903" s="66"/>
      <c r="AV903" s="66"/>
      <c r="AW903" s="66"/>
      <c r="AX903" s="66"/>
      <c r="AY903" s="66"/>
      <c r="AZ903" s="66"/>
      <c r="BA903" s="66"/>
      <c r="BB903" s="66"/>
      <c r="BC903" s="66"/>
      <c r="BD903" s="66"/>
      <c r="BE903" s="66"/>
      <c r="BF903" s="66"/>
      <c r="BG903" s="66"/>
      <c r="BH903" s="66"/>
      <c r="BI903" s="66"/>
      <c r="BJ903" s="66"/>
      <c r="BK903" s="66"/>
      <c r="BL903" s="66"/>
      <c r="BM903" s="66"/>
      <c r="BN903" s="66"/>
      <c r="BO903" s="66"/>
      <c r="BP903" s="66"/>
      <c r="BQ903" s="66"/>
      <c r="BR903" s="66"/>
      <c r="BS903" s="66"/>
      <c r="BT903" s="66"/>
      <c r="BU903" s="66"/>
      <c r="BV903" s="66"/>
      <c r="BW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66"/>
      <c r="AU904" s="66"/>
      <c r="AV904" s="66"/>
      <c r="AW904" s="66"/>
      <c r="AX904" s="66"/>
      <c r="AY904" s="66"/>
      <c r="AZ904" s="66"/>
      <c r="BA904" s="66"/>
      <c r="BB904" s="66"/>
      <c r="BC904" s="66"/>
      <c r="BD904" s="66"/>
      <c r="BE904" s="66"/>
      <c r="BF904" s="66"/>
      <c r="BG904" s="66"/>
      <c r="BH904" s="66"/>
      <c r="BI904" s="66"/>
      <c r="BJ904" s="66"/>
      <c r="BK904" s="66"/>
      <c r="BL904" s="66"/>
      <c r="BM904" s="66"/>
      <c r="BN904" s="66"/>
      <c r="BO904" s="66"/>
      <c r="BP904" s="66"/>
      <c r="BQ904" s="66"/>
      <c r="BR904" s="66"/>
      <c r="BS904" s="66"/>
      <c r="BT904" s="66"/>
      <c r="BU904" s="66"/>
      <c r="BV904" s="66"/>
      <c r="BW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66"/>
      <c r="AU905" s="66"/>
      <c r="AV905" s="66"/>
      <c r="AW905" s="66"/>
      <c r="AX905" s="66"/>
      <c r="AY905" s="66"/>
      <c r="AZ905" s="66"/>
      <c r="BA905" s="66"/>
      <c r="BB905" s="66"/>
      <c r="BC905" s="66"/>
      <c r="BD905" s="66"/>
      <c r="BE905" s="66"/>
      <c r="BF905" s="66"/>
      <c r="BG905" s="66"/>
      <c r="BH905" s="66"/>
      <c r="BI905" s="66"/>
      <c r="BJ905" s="66"/>
      <c r="BK905" s="66"/>
      <c r="BL905" s="66"/>
      <c r="BM905" s="66"/>
      <c r="BN905" s="66"/>
      <c r="BO905" s="66"/>
      <c r="BP905" s="66"/>
      <c r="BQ905" s="66"/>
      <c r="BR905" s="66"/>
      <c r="BS905" s="66"/>
      <c r="BT905" s="66"/>
      <c r="BU905" s="66"/>
      <c r="BV905" s="66"/>
      <c r="BW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66"/>
      <c r="AU906" s="66"/>
      <c r="AV906" s="66"/>
      <c r="AW906" s="66"/>
      <c r="AX906" s="66"/>
      <c r="AY906" s="66"/>
      <c r="AZ906" s="66"/>
      <c r="BA906" s="66"/>
      <c r="BB906" s="66"/>
      <c r="BC906" s="66"/>
      <c r="BD906" s="66"/>
      <c r="BE906" s="66"/>
      <c r="BF906" s="66"/>
      <c r="BG906" s="66"/>
      <c r="BH906" s="66"/>
      <c r="BI906" s="66"/>
      <c r="BJ906" s="66"/>
      <c r="BK906" s="66"/>
      <c r="BL906" s="66"/>
      <c r="BM906" s="66"/>
      <c r="BN906" s="66"/>
      <c r="BO906" s="66"/>
      <c r="BP906" s="66"/>
      <c r="BQ906" s="66"/>
      <c r="BR906" s="66"/>
      <c r="BS906" s="66"/>
      <c r="BT906" s="66"/>
      <c r="BU906" s="66"/>
      <c r="BV906" s="66"/>
      <c r="BW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66"/>
      <c r="AU907" s="66"/>
      <c r="AV907" s="66"/>
      <c r="AW907" s="66"/>
      <c r="AX907" s="66"/>
      <c r="AY907" s="66"/>
      <c r="AZ907" s="66"/>
      <c r="BA907" s="66"/>
      <c r="BB907" s="66"/>
      <c r="BC907" s="66"/>
      <c r="BD907" s="66"/>
      <c r="BE907" s="66"/>
      <c r="BF907" s="66"/>
      <c r="BG907" s="66"/>
      <c r="BH907" s="66"/>
      <c r="BI907" s="66"/>
      <c r="BJ907" s="66"/>
      <c r="BK907" s="66"/>
      <c r="BL907" s="66"/>
      <c r="BM907" s="66"/>
      <c r="BN907" s="66"/>
      <c r="BO907" s="66"/>
      <c r="BP907" s="66"/>
      <c r="BQ907" s="66"/>
      <c r="BR907" s="66"/>
      <c r="BS907" s="66"/>
      <c r="BT907" s="66"/>
      <c r="BU907" s="66"/>
      <c r="BV907" s="66"/>
      <c r="BW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  <c r="AS908" s="66"/>
      <c r="AT908" s="66"/>
      <c r="AU908" s="66"/>
      <c r="AV908" s="66"/>
      <c r="AW908" s="66"/>
      <c r="AX908" s="66"/>
      <c r="AY908" s="66"/>
      <c r="AZ908" s="66"/>
      <c r="BA908" s="66"/>
      <c r="BB908" s="66"/>
      <c r="BC908" s="66"/>
      <c r="BD908" s="66"/>
      <c r="BE908" s="66"/>
      <c r="BF908" s="66"/>
      <c r="BG908" s="66"/>
      <c r="BH908" s="66"/>
      <c r="BI908" s="66"/>
      <c r="BJ908" s="66"/>
      <c r="BK908" s="66"/>
      <c r="BL908" s="66"/>
      <c r="BM908" s="66"/>
      <c r="BN908" s="66"/>
      <c r="BO908" s="66"/>
      <c r="BP908" s="66"/>
      <c r="BQ908" s="66"/>
      <c r="BR908" s="66"/>
      <c r="BS908" s="66"/>
      <c r="BT908" s="66"/>
      <c r="BU908" s="66"/>
      <c r="BV908" s="66"/>
      <c r="BW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66"/>
      <c r="AU909" s="66"/>
      <c r="AV909" s="66"/>
      <c r="AW909" s="66"/>
      <c r="AX909" s="66"/>
      <c r="AY909" s="66"/>
      <c r="AZ909" s="66"/>
      <c r="BA909" s="66"/>
      <c r="BB909" s="66"/>
      <c r="BC909" s="66"/>
      <c r="BD909" s="66"/>
      <c r="BE909" s="66"/>
      <c r="BF909" s="66"/>
      <c r="BG909" s="66"/>
      <c r="BH909" s="66"/>
      <c r="BI909" s="66"/>
      <c r="BJ909" s="66"/>
      <c r="BK909" s="66"/>
      <c r="BL909" s="66"/>
      <c r="BM909" s="66"/>
      <c r="BN909" s="66"/>
      <c r="BO909" s="66"/>
      <c r="BP909" s="66"/>
      <c r="BQ909" s="66"/>
      <c r="BR909" s="66"/>
      <c r="BS909" s="66"/>
      <c r="BT909" s="66"/>
      <c r="BU909" s="66"/>
      <c r="BV909" s="66"/>
      <c r="BW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66"/>
      <c r="AU910" s="66"/>
      <c r="AV910" s="66"/>
      <c r="AW910" s="66"/>
      <c r="AX910" s="66"/>
      <c r="AY910" s="66"/>
      <c r="AZ910" s="66"/>
      <c r="BA910" s="66"/>
      <c r="BB910" s="66"/>
      <c r="BC910" s="66"/>
      <c r="BD910" s="66"/>
      <c r="BE910" s="66"/>
      <c r="BF910" s="66"/>
      <c r="BG910" s="66"/>
      <c r="BH910" s="66"/>
      <c r="BI910" s="66"/>
      <c r="BJ910" s="66"/>
      <c r="BK910" s="66"/>
      <c r="BL910" s="66"/>
      <c r="BM910" s="66"/>
      <c r="BN910" s="66"/>
      <c r="BO910" s="66"/>
      <c r="BP910" s="66"/>
      <c r="BQ910" s="66"/>
      <c r="BR910" s="66"/>
      <c r="BS910" s="66"/>
      <c r="BT910" s="66"/>
      <c r="BU910" s="66"/>
      <c r="BV910" s="66"/>
      <c r="BW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66"/>
      <c r="AU911" s="66"/>
      <c r="AV911" s="66"/>
      <c r="AW911" s="66"/>
      <c r="AX911" s="66"/>
      <c r="AY911" s="66"/>
      <c r="AZ911" s="66"/>
      <c r="BA911" s="66"/>
      <c r="BB911" s="66"/>
      <c r="BC911" s="66"/>
      <c r="BD911" s="66"/>
      <c r="BE911" s="66"/>
      <c r="BF911" s="66"/>
      <c r="BG911" s="66"/>
      <c r="BH911" s="66"/>
      <c r="BI911" s="66"/>
      <c r="BJ911" s="66"/>
      <c r="BK911" s="66"/>
      <c r="BL911" s="66"/>
      <c r="BM911" s="66"/>
      <c r="BN911" s="66"/>
      <c r="BO911" s="66"/>
      <c r="BP911" s="66"/>
      <c r="BQ911" s="66"/>
      <c r="BR911" s="66"/>
      <c r="BS911" s="66"/>
      <c r="BT911" s="66"/>
      <c r="BU911" s="66"/>
      <c r="BV911" s="66"/>
      <c r="BW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66"/>
      <c r="AZ912" s="66"/>
      <c r="BA912" s="66"/>
      <c r="BB912" s="66"/>
      <c r="BC912" s="66"/>
      <c r="BD912" s="66"/>
      <c r="BE912" s="66"/>
      <c r="BF912" s="66"/>
      <c r="BG912" s="66"/>
      <c r="BH912" s="66"/>
      <c r="BI912" s="66"/>
      <c r="BJ912" s="66"/>
      <c r="BK912" s="66"/>
      <c r="BL912" s="66"/>
      <c r="BM912" s="66"/>
      <c r="BN912" s="66"/>
      <c r="BO912" s="66"/>
      <c r="BP912" s="66"/>
      <c r="BQ912" s="66"/>
      <c r="BR912" s="66"/>
      <c r="BS912" s="66"/>
      <c r="BT912" s="66"/>
      <c r="BU912" s="66"/>
      <c r="BV912" s="66"/>
      <c r="BW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66"/>
      <c r="AU913" s="66"/>
      <c r="AV913" s="66"/>
      <c r="AW913" s="66"/>
      <c r="AX913" s="66"/>
      <c r="AY913" s="66"/>
      <c r="AZ913" s="66"/>
      <c r="BA913" s="66"/>
      <c r="BB913" s="66"/>
      <c r="BC913" s="66"/>
      <c r="BD913" s="66"/>
      <c r="BE913" s="66"/>
      <c r="BF913" s="66"/>
      <c r="BG913" s="66"/>
      <c r="BH913" s="66"/>
      <c r="BI913" s="66"/>
      <c r="BJ913" s="66"/>
      <c r="BK913" s="66"/>
      <c r="BL913" s="66"/>
      <c r="BM913" s="66"/>
      <c r="BN913" s="66"/>
      <c r="BO913" s="66"/>
      <c r="BP913" s="66"/>
      <c r="BQ913" s="66"/>
      <c r="BR913" s="66"/>
      <c r="BS913" s="66"/>
      <c r="BT913" s="66"/>
      <c r="BU913" s="66"/>
      <c r="BV913" s="66"/>
      <c r="BW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  <c r="AS914" s="66"/>
      <c r="AT914" s="66"/>
      <c r="AU914" s="66"/>
      <c r="AV914" s="66"/>
      <c r="AW914" s="66"/>
      <c r="AX914" s="66"/>
      <c r="AY914" s="66"/>
      <c r="AZ914" s="66"/>
      <c r="BA914" s="66"/>
      <c r="BB914" s="66"/>
      <c r="BC914" s="66"/>
      <c r="BD914" s="66"/>
      <c r="BE914" s="66"/>
      <c r="BF914" s="66"/>
      <c r="BG914" s="66"/>
      <c r="BH914" s="66"/>
      <c r="BI914" s="66"/>
      <c r="BJ914" s="66"/>
      <c r="BK914" s="66"/>
      <c r="BL914" s="66"/>
      <c r="BM914" s="66"/>
      <c r="BN914" s="66"/>
      <c r="BO914" s="66"/>
      <c r="BP914" s="66"/>
      <c r="BQ914" s="66"/>
      <c r="BR914" s="66"/>
      <c r="BS914" s="66"/>
      <c r="BT914" s="66"/>
      <c r="BU914" s="66"/>
      <c r="BV914" s="66"/>
      <c r="BW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66"/>
      <c r="AU915" s="66"/>
      <c r="AV915" s="66"/>
      <c r="AW915" s="66"/>
      <c r="AX915" s="66"/>
      <c r="AY915" s="66"/>
      <c r="AZ915" s="66"/>
      <c r="BA915" s="66"/>
      <c r="BB915" s="66"/>
      <c r="BC915" s="66"/>
      <c r="BD915" s="66"/>
      <c r="BE915" s="66"/>
      <c r="BF915" s="66"/>
      <c r="BG915" s="66"/>
      <c r="BH915" s="66"/>
      <c r="BI915" s="66"/>
      <c r="BJ915" s="66"/>
      <c r="BK915" s="66"/>
      <c r="BL915" s="66"/>
      <c r="BM915" s="66"/>
      <c r="BN915" s="66"/>
      <c r="BO915" s="66"/>
      <c r="BP915" s="66"/>
      <c r="BQ915" s="66"/>
      <c r="BR915" s="66"/>
      <c r="BS915" s="66"/>
      <c r="BT915" s="66"/>
      <c r="BU915" s="66"/>
      <c r="BV915" s="66"/>
      <c r="BW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66"/>
      <c r="AU916" s="66"/>
      <c r="AV916" s="66"/>
      <c r="AW916" s="66"/>
      <c r="AX916" s="66"/>
      <c r="AY916" s="66"/>
      <c r="AZ916" s="66"/>
      <c r="BA916" s="66"/>
      <c r="BB916" s="66"/>
      <c r="BC916" s="66"/>
      <c r="BD916" s="66"/>
      <c r="BE916" s="66"/>
      <c r="BF916" s="66"/>
      <c r="BG916" s="66"/>
      <c r="BH916" s="66"/>
      <c r="BI916" s="66"/>
      <c r="BJ916" s="66"/>
      <c r="BK916" s="66"/>
      <c r="BL916" s="66"/>
      <c r="BM916" s="66"/>
      <c r="BN916" s="66"/>
      <c r="BO916" s="66"/>
      <c r="BP916" s="66"/>
      <c r="BQ916" s="66"/>
      <c r="BR916" s="66"/>
      <c r="BS916" s="66"/>
      <c r="BT916" s="66"/>
      <c r="BU916" s="66"/>
      <c r="BV916" s="66"/>
      <c r="BW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66"/>
      <c r="AU917" s="66"/>
      <c r="AV917" s="66"/>
      <c r="AW917" s="66"/>
      <c r="AX917" s="66"/>
      <c r="AY917" s="66"/>
      <c r="AZ917" s="66"/>
      <c r="BA917" s="66"/>
      <c r="BB917" s="66"/>
      <c r="BC917" s="66"/>
      <c r="BD917" s="66"/>
      <c r="BE917" s="66"/>
      <c r="BF917" s="66"/>
      <c r="BG917" s="66"/>
      <c r="BH917" s="66"/>
      <c r="BI917" s="66"/>
      <c r="BJ917" s="66"/>
      <c r="BK917" s="66"/>
      <c r="BL917" s="66"/>
      <c r="BM917" s="66"/>
      <c r="BN917" s="66"/>
      <c r="BO917" s="66"/>
      <c r="BP917" s="66"/>
      <c r="BQ917" s="66"/>
      <c r="BR917" s="66"/>
      <c r="BS917" s="66"/>
      <c r="BT917" s="66"/>
      <c r="BU917" s="66"/>
      <c r="BV917" s="66"/>
      <c r="BW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66"/>
      <c r="AU918" s="66"/>
      <c r="AV918" s="66"/>
      <c r="AW918" s="66"/>
      <c r="AX918" s="66"/>
      <c r="AY918" s="66"/>
      <c r="AZ918" s="66"/>
      <c r="BA918" s="66"/>
      <c r="BB918" s="66"/>
      <c r="BC918" s="66"/>
      <c r="BD918" s="66"/>
      <c r="BE918" s="66"/>
      <c r="BF918" s="66"/>
      <c r="BG918" s="66"/>
      <c r="BH918" s="66"/>
      <c r="BI918" s="66"/>
      <c r="BJ918" s="66"/>
      <c r="BK918" s="66"/>
      <c r="BL918" s="66"/>
      <c r="BM918" s="66"/>
      <c r="BN918" s="66"/>
      <c r="BO918" s="66"/>
      <c r="BP918" s="66"/>
      <c r="BQ918" s="66"/>
      <c r="BR918" s="66"/>
      <c r="BS918" s="66"/>
      <c r="BT918" s="66"/>
      <c r="BU918" s="66"/>
      <c r="BV918" s="66"/>
      <c r="BW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66"/>
      <c r="AZ919" s="66"/>
      <c r="BA919" s="66"/>
      <c r="BB919" s="66"/>
      <c r="BC919" s="66"/>
      <c r="BD919" s="66"/>
      <c r="BE919" s="66"/>
      <c r="BF919" s="66"/>
      <c r="BG919" s="66"/>
      <c r="BH919" s="66"/>
      <c r="BI919" s="66"/>
      <c r="BJ919" s="66"/>
      <c r="BK919" s="66"/>
      <c r="BL919" s="66"/>
      <c r="BM919" s="66"/>
      <c r="BN919" s="66"/>
      <c r="BO919" s="66"/>
      <c r="BP919" s="66"/>
      <c r="BQ919" s="66"/>
      <c r="BR919" s="66"/>
      <c r="BS919" s="66"/>
      <c r="BT919" s="66"/>
      <c r="BU919" s="66"/>
      <c r="BV919" s="66"/>
      <c r="BW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/>
      <c r="BJ920" s="66"/>
      <c r="BK920" s="66"/>
      <c r="BL920" s="66"/>
      <c r="BM920" s="66"/>
      <c r="BN920" s="66"/>
      <c r="BO920" s="66"/>
      <c r="BP920" s="66"/>
      <c r="BQ920" s="66"/>
      <c r="BR920" s="66"/>
      <c r="BS920" s="66"/>
      <c r="BT920" s="66"/>
      <c r="BU920" s="66"/>
      <c r="BV920" s="66"/>
      <c r="BW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/>
      <c r="BJ921" s="66"/>
      <c r="BK921" s="66"/>
      <c r="BL921" s="66"/>
      <c r="BM921" s="66"/>
      <c r="BN921" s="66"/>
      <c r="BO921" s="66"/>
      <c r="BP921" s="66"/>
      <c r="BQ921" s="66"/>
      <c r="BR921" s="66"/>
      <c r="BS921" s="66"/>
      <c r="BT921" s="66"/>
      <c r="BU921" s="66"/>
      <c r="BV921" s="66"/>
      <c r="BW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66"/>
      <c r="AZ922" s="66"/>
      <c r="BA922" s="66"/>
      <c r="BB922" s="66"/>
      <c r="BC922" s="66"/>
      <c r="BD922" s="66"/>
      <c r="BE922" s="66"/>
      <c r="BF922" s="66"/>
      <c r="BG922" s="66"/>
      <c r="BH922" s="66"/>
      <c r="BI922" s="66"/>
      <c r="BJ922" s="66"/>
      <c r="BK922" s="66"/>
      <c r="BL922" s="66"/>
      <c r="BM922" s="66"/>
      <c r="BN922" s="66"/>
      <c r="BO922" s="66"/>
      <c r="BP922" s="66"/>
      <c r="BQ922" s="66"/>
      <c r="BR922" s="66"/>
      <c r="BS922" s="66"/>
      <c r="BT922" s="66"/>
      <c r="BU922" s="66"/>
      <c r="BV922" s="66"/>
      <c r="BW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66"/>
      <c r="AU923" s="66"/>
      <c r="AV923" s="66"/>
      <c r="AW923" s="66"/>
      <c r="AX923" s="66"/>
      <c r="AY923" s="66"/>
      <c r="AZ923" s="66"/>
      <c r="BA923" s="66"/>
      <c r="BB923" s="66"/>
      <c r="BC923" s="66"/>
      <c r="BD923" s="66"/>
      <c r="BE923" s="66"/>
      <c r="BF923" s="66"/>
      <c r="BG923" s="66"/>
      <c r="BH923" s="66"/>
      <c r="BI923" s="66"/>
      <c r="BJ923" s="66"/>
      <c r="BK923" s="66"/>
      <c r="BL923" s="66"/>
      <c r="BM923" s="66"/>
      <c r="BN923" s="66"/>
      <c r="BO923" s="66"/>
      <c r="BP923" s="66"/>
      <c r="BQ923" s="66"/>
      <c r="BR923" s="66"/>
      <c r="BS923" s="66"/>
      <c r="BT923" s="66"/>
      <c r="BU923" s="66"/>
      <c r="BV923" s="66"/>
      <c r="BW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66"/>
      <c r="AU924" s="66"/>
      <c r="AV924" s="66"/>
      <c r="AW924" s="66"/>
      <c r="AX924" s="66"/>
      <c r="AY924" s="66"/>
      <c r="AZ924" s="66"/>
      <c r="BA924" s="66"/>
      <c r="BB924" s="66"/>
      <c r="BC924" s="66"/>
      <c r="BD924" s="66"/>
      <c r="BE924" s="66"/>
      <c r="BF924" s="66"/>
      <c r="BG924" s="66"/>
      <c r="BH924" s="66"/>
      <c r="BI924" s="66"/>
      <c r="BJ924" s="66"/>
      <c r="BK924" s="66"/>
      <c r="BL924" s="66"/>
      <c r="BM924" s="66"/>
      <c r="BN924" s="66"/>
      <c r="BO924" s="66"/>
      <c r="BP924" s="66"/>
      <c r="BQ924" s="66"/>
      <c r="BR924" s="66"/>
      <c r="BS924" s="66"/>
      <c r="BT924" s="66"/>
      <c r="BU924" s="66"/>
      <c r="BV924" s="66"/>
      <c r="BW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66"/>
      <c r="AU925" s="66"/>
      <c r="AV925" s="66"/>
      <c r="AW925" s="66"/>
      <c r="AX925" s="66"/>
      <c r="AY925" s="66"/>
      <c r="AZ925" s="66"/>
      <c r="BA925" s="66"/>
      <c r="BB925" s="66"/>
      <c r="BC925" s="66"/>
      <c r="BD925" s="66"/>
      <c r="BE925" s="66"/>
      <c r="BF925" s="66"/>
      <c r="BG925" s="66"/>
      <c r="BH925" s="66"/>
      <c r="BI925" s="66"/>
      <c r="BJ925" s="66"/>
      <c r="BK925" s="66"/>
      <c r="BL925" s="66"/>
      <c r="BM925" s="66"/>
      <c r="BN925" s="66"/>
      <c r="BO925" s="66"/>
      <c r="BP925" s="66"/>
      <c r="BQ925" s="66"/>
      <c r="BR925" s="66"/>
      <c r="BS925" s="66"/>
      <c r="BT925" s="66"/>
      <c r="BU925" s="66"/>
      <c r="BV925" s="66"/>
      <c r="BW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66"/>
      <c r="AU926" s="66"/>
      <c r="AV926" s="66"/>
      <c r="AW926" s="66"/>
      <c r="AX926" s="66"/>
      <c r="AY926" s="66"/>
      <c r="AZ926" s="66"/>
      <c r="BA926" s="66"/>
      <c r="BB926" s="66"/>
      <c r="BC926" s="66"/>
      <c r="BD926" s="66"/>
      <c r="BE926" s="66"/>
      <c r="BF926" s="66"/>
      <c r="BG926" s="66"/>
      <c r="BH926" s="66"/>
      <c r="BI926" s="66"/>
      <c r="BJ926" s="66"/>
      <c r="BK926" s="66"/>
      <c r="BL926" s="66"/>
      <c r="BM926" s="66"/>
      <c r="BN926" s="66"/>
      <c r="BO926" s="66"/>
      <c r="BP926" s="66"/>
      <c r="BQ926" s="66"/>
      <c r="BR926" s="66"/>
      <c r="BS926" s="66"/>
      <c r="BT926" s="66"/>
      <c r="BU926" s="66"/>
      <c r="BV926" s="66"/>
      <c r="BW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66"/>
      <c r="AU927" s="66"/>
      <c r="AV927" s="66"/>
      <c r="AW927" s="66"/>
      <c r="AX927" s="66"/>
      <c r="AY927" s="66"/>
      <c r="AZ927" s="66"/>
      <c r="BA927" s="66"/>
      <c r="BB927" s="66"/>
      <c r="BC927" s="66"/>
      <c r="BD927" s="66"/>
      <c r="BE927" s="66"/>
      <c r="BF927" s="66"/>
      <c r="BG927" s="66"/>
      <c r="BH927" s="66"/>
      <c r="BI927" s="66"/>
      <c r="BJ927" s="66"/>
      <c r="BK927" s="66"/>
      <c r="BL927" s="66"/>
      <c r="BM927" s="66"/>
      <c r="BN927" s="66"/>
      <c r="BO927" s="66"/>
      <c r="BP927" s="66"/>
      <c r="BQ927" s="66"/>
      <c r="BR927" s="66"/>
      <c r="BS927" s="66"/>
      <c r="BT927" s="66"/>
      <c r="BU927" s="66"/>
      <c r="BV927" s="66"/>
      <c r="BW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66"/>
      <c r="AU928" s="66"/>
      <c r="AV928" s="66"/>
      <c r="AW928" s="66"/>
      <c r="AX928" s="66"/>
      <c r="AY928" s="66"/>
      <c r="AZ928" s="66"/>
      <c r="BA928" s="66"/>
      <c r="BB928" s="66"/>
      <c r="BC928" s="66"/>
      <c r="BD928" s="66"/>
      <c r="BE928" s="66"/>
      <c r="BF928" s="66"/>
      <c r="BG928" s="66"/>
      <c r="BH928" s="66"/>
      <c r="BI928" s="66"/>
      <c r="BJ928" s="66"/>
      <c r="BK928" s="66"/>
      <c r="BL928" s="66"/>
      <c r="BM928" s="66"/>
      <c r="BN928" s="66"/>
      <c r="BO928" s="66"/>
      <c r="BP928" s="66"/>
      <c r="BQ928" s="66"/>
      <c r="BR928" s="66"/>
      <c r="BS928" s="66"/>
      <c r="BT928" s="66"/>
      <c r="BU928" s="66"/>
      <c r="BV928" s="66"/>
      <c r="BW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66"/>
      <c r="AU929" s="66"/>
      <c r="AV929" s="66"/>
      <c r="AW929" s="66"/>
      <c r="AX929" s="66"/>
      <c r="AY929" s="66"/>
      <c r="AZ929" s="66"/>
      <c r="BA929" s="66"/>
      <c r="BB929" s="66"/>
      <c r="BC929" s="66"/>
      <c r="BD929" s="66"/>
      <c r="BE929" s="66"/>
      <c r="BF929" s="66"/>
      <c r="BG929" s="66"/>
      <c r="BH929" s="66"/>
      <c r="BI929" s="66"/>
      <c r="BJ929" s="66"/>
      <c r="BK929" s="66"/>
      <c r="BL929" s="66"/>
      <c r="BM929" s="66"/>
      <c r="BN929" s="66"/>
      <c r="BO929" s="66"/>
      <c r="BP929" s="66"/>
      <c r="BQ929" s="66"/>
      <c r="BR929" s="66"/>
      <c r="BS929" s="66"/>
      <c r="BT929" s="66"/>
      <c r="BU929" s="66"/>
      <c r="BV929" s="66"/>
      <c r="BW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66"/>
      <c r="AU930" s="66"/>
      <c r="AV930" s="66"/>
      <c r="AW930" s="66"/>
      <c r="AX930" s="66"/>
      <c r="AY930" s="66"/>
      <c r="AZ930" s="66"/>
      <c r="BA930" s="66"/>
      <c r="BB930" s="66"/>
      <c r="BC930" s="66"/>
      <c r="BD930" s="66"/>
      <c r="BE930" s="66"/>
      <c r="BF930" s="66"/>
      <c r="BG930" s="66"/>
      <c r="BH930" s="66"/>
      <c r="BI930" s="66"/>
      <c r="BJ930" s="66"/>
      <c r="BK930" s="66"/>
      <c r="BL930" s="66"/>
      <c r="BM930" s="66"/>
      <c r="BN930" s="66"/>
      <c r="BO930" s="66"/>
      <c r="BP930" s="66"/>
      <c r="BQ930" s="66"/>
      <c r="BR930" s="66"/>
      <c r="BS930" s="66"/>
      <c r="BT930" s="66"/>
      <c r="BU930" s="66"/>
      <c r="BV930" s="66"/>
      <c r="BW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6"/>
      <c r="AS931" s="66"/>
      <c r="AT931" s="66"/>
      <c r="AU931" s="66"/>
      <c r="AV931" s="66"/>
      <c r="AW931" s="66"/>
      <c r="AX931" s="66"/>
      <c r="AY931" s="66"/>
      <c r="AZ931" s="66"/>
      <c r="BA931" s="66"/>
      <c r="BB931" s="66"/>
      <c r="BC931" s="66"/>
      <c r="BD931" s="66"/>
      <c r="BE931" s="66"/>
      <c r="BF931" s="66"/>
      <c r="BG931" s="66"/>
      <c r="BH931" s="66"/>
      <c r="BI931" s="66"/>
      <c r="BJ931" s="66"/>
      <c r="BK931" s="66"/>
      <c r="BL931" s="66"/>
      <c r="BM931" s="66"/>
      <c r="BN931" s="66"/>
      <c r="BO931" s="66"/>
      <c r="BP931" s="66"/>
      <c r="BQ931" s="66"/>
      <c r="BR931" s="66"/>
      <c r="BS931" s="66"/>
      <c r="BT931" s="66"/>
      <c r="BU931" s="66"/>
      <c r="BV931" s="66"/>
      <c r="BW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  <c r="AS932" s="66"/>
      <c r="AT932" s="66"/>
      <c r="AU932" s="66"/>
      <c r="AV932" s="66"/>
      <c r="AW932" s="66"/>
      <c r="AX932" s="66"/>
      <c r="AY932" s="66"/>
      <c r="AZ932" s="66"/>
      <c r="BA932" s="66"/>
      <c r="BB932" s="66"/>
      <c r="BC932" s="66"/>
      <c r="BD932" s="66"/>
      <c r="BE932" s="66"/>
      <c r="BF932" s="66"/>
      <c r="BG932" s="66"/>
      <c r="BH932" s="66"/>
      <c r="BI932" s="66"/>
      <c r="BJ932" s="66"/>
      <c r="BK932" s="66"/>
      <c r="BL932" s="66"/>
      <c r="BM932" s="66"/>
      <c r="BN932" s="66"/>
      <c r="BO932" s="66"/>
      <c r="BP932" s="66"/>
      <c r="BQ932" s="66"/>
      <c r="BR932" s="66"/>
      <c r="BS932" s="66"/>
      <c r="BT932" s="66"/>
      <c r="BU932" s="66"/>
      <c r="BV932" s="66"/>
      <c r="BW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66"/>
      <c r="AU933" s="66"/>
      <c r="AV933" s="66"/>
      <c r="AW933" s="66"/>
      <c r="AX933" s="66"/>
      <c r="AY933" s="66"/>
      <c r="AZ933" s="66"/>
      <c r="BA933" s="66"/>
      <c r="BB933" s="66"/>
      <c r="BC933" s="66"/>
      <c r="BD933" s="66"/>
      <c r="BE933" s="66"/>
      <c r="BF933" s="66"/>
      <c r="BG933" s="66"/>
      <c r="BH933" s="66"/>
      <c r="BI933" s="66"/>
      <c r="BJ933" s="66"/>
      <c r="BK933" s="66"/>
      <c r="BL933" s="66"/>
      <c r="BM933" s="66"/>
      <c r="BN933" s="66"/>
      <c r="BO933" s="66"/>
      <c r="BP933" s="66"/>
      <c r="BQ933" s="66"/>
      <c r="BR933" s="66"/>
      <c r="BS933" s="66"/>
      <c r="BT933" s="66"/>
      <c r="BU933" s="66"/>
      <c r="BV933" s="66"/>
      <c r="BW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66"/>
      <c r="AU934" s="66"/>
      <c r="AV934" s="66"/>
      <c r="AW934" s="66"/>
      <c r="AX934" s="66"/>
      <c r="AY934" s="66"/>
      <c r="AZ934" s="66"/>
      <c r="BA934" s="66"/>
      <c r="BB934" s="66"/>
      <c r="BC934" s="66"/>
      <c r="BD934" s="66"/>
      <c r="BE934" s="66"/>
      <c r="BF934" s="66"/>
      <c r="BG934" s="66"/>
      <c r="BH934" s="66"/>
      <c r="BI934" s="66"/>
      <c r="BJ934" s="66"/>
      <c r="BK934" s="66"/>
      <c r="BL934" s="66"/>
      <c r="BM934" s="66"/>
      <c r="BN934" s="66"/>
      <c r="BO934" s="66"/>
      <c r="BP934" s="66"/>
      <c r="BQ934" s="66"/>
      <c r="BR934" s="66"/>
      <c r="BS934" s="66"/>
      <c r="BT934" s="66"/>
      <c r="BU934" s="66"/>
      <c r="BV934" s="66"/>
      <c r="BW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  <c r="AS935" s="66"/>
      <c r="AT935" s="66"/>
      <c r="AU935" s="66"/>
      <c r="AV935" s="66"/>
      <c r="AW935" s="66"/>
      <c r="AX935" s="66"/>
      <c r="AY935" s="66"/>
      <c r="AZ935" s="66"/>
      <c r="BA935" s="66"/>
      <c r="BB935" s="66"/>
      <c r="BC935" s="66"/>
      <c r="BD935" s="66"/>
      <c r="BE935" s="66"/>
      <c r="BF935" s="66"/>
      <c r="BG935" s="66"/>
      <c r="BH935" s="66"/>
      <c r="BI935" s="66"/>
      <c r="BJ935" s="66"/>
      <c r="BK935" s="66"/>
      <c r="BL935" s="66"/>
      <c r="BM935" s="66"/>
      <c r="BN935" s="66"/>
      <c r="BO935" s="66"/>
      <c r="BP935" s="66"/>
      <c r="BQ935" s="66"/>
      <c r="BR935" s="66"/>
      <c r="BS935" s="66"/>
      <c r="BT935" s="66"/>
      <c r="BU935" s="66"/>
      <c r="BV935" s="66"/>
      <c r="BW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66"/>
      <c r="AU936" s="66"/>
      <c r="AV936" s="66"/>
      <c r="AW936" s="66"/>
      <c r="AX936" s="66"/>
      <c r="AY936" s="66"/>
      <c r="AZ936" s="66"/>
      <c r="BA936" s="66"/>
      <c r="BB936" s="66"/>
      <c r="BC936" s="66"/>
      <c r="BD936" s="66"/>
      <c r="BE936" s="66"/>
      <c r="BF936" s="66"/>
      <c r="BG936" s="66"/>
      <c r="BH936" s="66"/>
      <c r="BI936" s="66"/>
      <c r="BJ936" s="66"/>
      <c r="BK936" s="66"/>
      <c r="BL936" s="66"/>
      <c r="BM936" s="66"/>
      <c r="BN936" s="66"/>
      <c r="BO936" s="66"/>
      <c r="BP936" s="66"/>
      <c r="BQ936" s="66"/>
      <c r="BR936" s="66"/>
      <c r="BS936" s="66"/>
      <c r="BT936" s="66"/>
      <c r="BU936" s="66"/>
      <c r="BV936" s="66"/>
      <c r="BW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66"/>
      <c r="AU937" s="66"/>
      <c r="AV937" s="66"/>
      <c r="AW937" s="66"/>
      <c r="AX937" s="66"/>
      <c r="AY937" s="66"/>
      <c r="AZ937" s="66"/>
      <c r="BA937" s="66"/>
      <c r="BB937" s="66"/>
      <c r="BC937" s="66"/>
      <c r="BD937" s="66"/>
      <c r="BE937" s="66"/>
      <c r="BF937" s="66"/>
      <c r="BG937" s="66"/>
      <c r="BH937" s="66"/>
      <c r="BI937" s="66"/>
      <c r="BJ937" s="66"/>
      <c r="BK937" s="66"/>
      <c r="BL937" s="66"/>
      <c r="BM937" s="66"/>
      <c r="BN937" s="66"/>
      <c r="BO937" s="66"/>
      <c r="BP937" s="66"/>
      <c r="BQ937" s="66"/>
      <c r="BR937" s="66"/>
      <c r="BS937" s="66"/>
      <c r="BT937" s="66"/>
      <c r="BU937" s="66"/>
      <c r="BV937" s="66"/>
      <c r="BW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66"/>
      <c r="AU938" s="66"/>
      <c r="AV938" s="66"/>
      <c r="AW938" s="66"/>
      <c r="AX938" s="66"/>
      <c r="AY938" s="66"/>
      <c r="AZ938" s="66"/>
      <c r="BA938" s="66"/>
      <c r="BB938" s="66"/>
      <c r="BC938" s="66"/>
      <c r="BD938" s="66"/>
      <c r="BE938" s="66"/>
      <c r="BF938" s="66"/>
      <c r="BG938" s="66"/>
      <c r="BH938" s="66"/>
      <c r="BI938" s="66"/>
      <c r="BJ938" s="66"/>
      <c r="BK938" s="66"/>
      <c r="BL938" s="66"/>
      <c r="BM938" s="66"/>
      <c r="BN938" s="66"/>
      <c r="BO938" s="66"/>
      <c r="BP938" s="66"/>
      <c r="BQ938" s="66"/>
      <c r="BR938" s="66"/>
      <c r="BS938" s="66"/>
      <c r="BT938" s="66"/>
      <c r="BU938" s="66"/>
      <c r="BV938" s="66"/>
      <c r="BW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66"/>
      <c r="AU939" s="66"/>
      <c r="AV939" s="66"/>
      <c r="AW939" s="66"/>
      <c r="AX939" s="66"/>
      <c r="AY939" s="66"/>
      <c r="AZ939" s="66"/>
      <c r="BA939" s="66"/>
      <c r="BB939" s="66"/>
      <c r="BC939" s="66"/>
      <c r="BD939" s="66"/>
      <c r="BE939" s="66"/>
      <c r="BF939" s="66"/>
      <c r="BG939" s="66"/>
      <c r="BH939" s="66"/>
      <c r="BI939" s="66"/>
      <c r="BJ939" s="66"/>
      <c r="BK939" s="66"/>
      <c r="BL939" s="66"/>
      <c r="BM939" s="66"/>
      <c r="BN939" s="66"/>
      <c r="BO939" s="66"/>
      <c r="BP939" s="66"/>
      <c r="BQ939" s="66"/>
      <c r="BR939" s="66"/>
      <c r="BS939" s="66"/>
      <c r="BT939" s="66"/>
      <c r="BU939" s="66"/>
      <c r="BV939" s="66"/>
      <c r="BW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66"/>
      <c r="AU940" s="66"/>
      <c r="AV940" s="66"/>
      <c r="AW940" s="66"/>
      <c r="AX940" s="66"/>
      <c r="AY940" s="66"/>
      <c r="AZ940" s="66"/>
      <c r="BA940" s="66"/>
      <c r="BB940" s="66"/>
      <c r="BC940" s="66"/>
      <c r="BD940" s="66"/>
      <c r="BE940" s="66"/>
      <c r="BF940" s="66"/>
      <c r="BG940" s="66"/>
      <c r="BH940" s="66"/>
      <c r="BI940" s="66"/>
      <c r="BJ940" s="66"/>
      <c r="BK940" s="66"/>
      <c r="BL940" s="66"/>
      <c r="BM940" s="66"/>
      <c r="BN940" s="66"/>
      <c r="BO940" s="66"/>
      <c r="BP940" s="66"/>
      <c r="BQ940" s="66"/>
      <c r="BR940" s="66"/>
      <c r="BS940" s="66"/>
      <c r="BT940" s="66"/>
      <c r="BU940" s="66"/>
      <c r="BV940" s="66"/>
      <c r="BW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66"/>
      <c r="AU941" s="66"/>
      <c r="AV941" s="66"/>
      <c r="AW941" s="66"/>
      <c r="AX941" s="66"/>
      <c r="AY941" s="66"/>
      <c r="AZ941" s="66"/>
      <c r="BA941" s="66"/>
      <c r="BB941" s="66"/>
      <c r="BC941" s="66"/>
      <c r="BD941" s="66"/>
      <c r="BE941" s="66"/>
      <c r="BF941" s="66"/>
      <c r="BG941" s="66"/>
      <c r="BH941" s="66"/>
      <c r="BI941" s="66"/>
      <c r="BJ941" s="66"/>
      <c r="BK941" s="66"/>
      <c r="BL941" s="66"/>
      <c r="BM941" s="66"/>
      <c r="BN941" s="66"/>
      <c r="BO941" s="66"/>
      <c r="BP941" s="66"/>
      <c r="BQ941" s="66"/>
      <c r="BR941" s="66"/>
      <c r="BS941" s="66"/>
      <c r="BT941" s="66"/>
      <c r="BU941" s="66"/>
      <c r="BV941" s="66"/>
      <c r="BW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66"/>
      <c r="AU942" s="66"/>
      <c r="AV942" s="66"/>
      <c r="AW942" s="66"/>
      <c r="AX942" s="66"/>
      <c r="AY942" s="66"/>
      <c r="AZ942" s="66"/>
      <c r="BA942" s="66"/>
      <c r="BB942" s="66"/>
      <c r="BC942" s="66"/>
      <c r="BD942" s="66"/>
      <c r="BE942" s="66"/>
      <c r="BF942" s="66"/>
      <c r="BG942" s="66"/>
      <c r="BH942" s="66"/>
      <c r="BI942" s="66"/>
      <c r="BJ942" s="66"/>
      <c r="BK942" s="66"/>
      <c r="BL942" s="66"/>
      <c r="BM942" s="66"/>
      <c r="BN942" s="66"/>
      <c r="BO942" s="66"/>
      <c r="BP942" s="66"/>
      <c r="BQ942" s="66"/>
      <c r="BR942" s="66"/>
      <c r="BS942" s="66"/>
      <c r="BT942" s="66"/>
      <c r="BU942" s="66"/>
      <c r="BV942" s="66"/>
      <c r="BW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66"/>
      <c r="AU943" s="66"/>
      <c r="AV943" s="66"/>
      <c r="AW943" s="66"/>
      <c r="AX943" s="66"/>
      <c r="AY943" s="66"/>
      <c r="AZ943" s="66"/>
      <c r="BA943" s="66"/>
      <c r="BB943" s="66"/>
      <c r="BC943" s="66"/>
      <c r="BD943" s="66"/>
      <c r="BE943" s="66"/>
      <c r="BF943" s="66"/>
      <c r="BG943" s="66"/>
      <c r="BH943" s="66"/>
      <c r="BI943" s="66"/>
      <c r="BJ943" s="66"/>
      <c r="BK943" s="66"/>
      <c r="BL943" s="66"/>
      <c r="BM943" s="66"/>
      <c r="BN943" s="66"/>
      <c r="BO943" s="66"/>
      <c r="BP943" s="66"/>
      <c r="BQ943" s="66"/>
      <c r="BR943" s="66"/>
      <c r="BS943" s="66"/>
      <c r="BT943" s="66"/>
      <c r="BU943" s="66"/>
      <c r="BV943" s="66"/>
      <c r="BW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66"/>
      <c r="AU944" s="66"/>
      <c r="AV944" s="66"/>
      <c r="AW944" s="66"/>
      <c r="AX944" s="66"/>
      <c r="AY944" s="66"/>
      <c r="AZ944" s="66"/>
      <c r="BA944" s="66"/>
      <c r="BB944" s="66"/>
      <c r="BC944" s="66"/>
      <c r="BD944" s="66"/>
      <c r="BE944" s="66"/>
      <c r="BF944" s="66"/>
      <c r="BG944" s="66"/>
      <c r="BH944" s="66"/>
      <c r="BI944" s="66"/>
      <c r="BJ944" s="66"/>
      <c r="BK944" s="66"/>
      <c r="BL944" s="66"/>
      <c r="BM944" s="66"/>
      <c r="BN944" s="66"/>
      <c r="BO944" s="66"/>
      <c r="BP944" s="66"/>
      <c r="BQ944" s="66"/>
      <c r="BR944" s="66"/>
      <c r="BS944" s="66"/>
      <c r="BT944" s="66"/>
      <c r="BU944" s="66"/>
      <c r="BV944" s="66"/>
      <c r="BW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66"/>
      <c r="AU945" s="66"/>
      <c r="AV945" s="66"/>
      <c r="AW945" s="66"/>
      <c r="AX945" s="66"/>
      <c r="AY945" s="66"/>
      <c r="AZ945" s="66"/>
      <c r="BA945" s="66"/>
      <c r="BB945" s="66"/>
      <c r="BC945" s="66"/>
      <c r="BD945" s="66"/>
      <c r="BE945" s="66"/>
      <c r="BF945" s="66"/>
      <c r="BG945" s="66"/>
      <c r="BH945" s="66"/>
      <c r="BI945" s="66"/>
      <c r="BJ945" s="66"/>
      <c r="BK945" s="66"/>
      <c r="BL945" s="66"/>
      <c r="BM945" s="66"/>
      <c r="BN945" s="66"/>
      <c r="BO945" s="66"/>
      <c r="BP945" s="66"/>
      <c r="BQ945" s="66"/>
      <c r="BR945" s="66"/>
      <c r="BS945" s="66"/>
      <c r="BT945" s="66"/>
      <c r="BU945" s="66"/>
      <c r="BV945" s="66"/>
      <c r="BW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  <c r="AS946" s="66"/>
      <c r="AT946" s="66"/>
      <c r="AU946" s="66"/>
      <c r="AV946" s="66"/>
      <c r="AW946" s="66"/>
      <c r="AX946" s="66"/>
      <c r="AY946" s="66"/>
      <c r="AZ946" s="66"/>
      <c r="BA946" s="66"/>
      <c r="BB946" s="66"/>
      <c r="BC946" s="66"/>
      <c r="BD946" s="66"/>
      <c r="BE946" s="66"/>
      <c r="BF946" s="66"/>
      <c r="BG946" s="66"/>
      <c r="BH946" s="66"/>
      <c r="BI946" s="66"/>
      <c r="BJ946" s="66"/>
      <c r="BK946" s="66"/>
      <c r="BL946" s="66"/>
      <c r="BM946" s="66"/>
      <c r="BN946" s="66"/>
      <c r="BO946" s="66"/>
      <c r="BP946" s="66"/>
      <c r="BQ946" s="66"/>
      <c r="BR946" s="66"/>
      <c r="BS946" s="66"/>
      <c r="BT946" s="66"/>
      <c r="BU946" s="66"/>
      <c r="BV946" s="66"/>
      <c r="BW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66"/>
      <c r="AU947" s="66"/>
      <c r="AV947" s="66"/>
      <c r="AW947" s="66"/>
      <c r="AX947" s="66"/>
      <c r="AY947" s="66"/>
      <c r="AZ947" s="66"/>
      <c r="BA947" s="66"/>
      <c r="BB947" s="66"/>
      <c r="BC947" s="66"/>
      <c r="BD947" s="66"/>
      <c r="BE947" s="66"/>
      <c r="BF947" s="66"/>
      <c r="BG947" s="66"/>
      <c r="BH947" s="66"/>
      <c r="BI947" s="66"/>
      <c r="BJ947" s="66"/>
      <c r="BK947" s="66"/>
      <c r="BL947" s="66"/>
      <c r="BM947" s="66"/>
      <c r="BN947" s="66"/>
      <c r="BO947" s="66"/>
      <c r="BP947" s="66"/>
      <c r="BQ947" s="66"/>
      <c r="BR947" s="66"/>
      <c r="BS947" s="66"/>
      <c r="BT947" s="66"/>
      <c r="BU947" s="66"/>
      <c r="BV947" s="66"/>
      <c r="BW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/>
      <c r="AT948" s="66"/>
      <c r="AU948" s="66"/>
      <c r="AV948" s="66"/>
      <c r="AW948" s="66"/>
      <c r="AX948" s="66"/>
      <c r="AY948" s="66"/>
      <c r="AZ948" s="66"/>
      <c r="BA948" s="66"/>
      <c r="BB948" s="66"/>
      <c r="BC948" s="66"/>
      <c r="BD948" s="66"/>
      <c r="BE948" s="66"/>
      <c r="BF948" s="66"/>
      <c r="BG948" s="66"/>
      <c r="BH948" s="66"/>
      <c r="BI948" s="66"/>
      <c r="BJ948" s="66"/>
      <c r="BK948" s="66"/>
      <c r="BL948" s="66"/>
      <c r="BM948" s="66"/>
      <c r="BN948" s="66"/>
      <c r="BO948" s="66"/>
      <c r="BP948" s="66"/>
      <c r="BQ948" s="66"/>
      <c r="BR948" s="66"/>
      <c r="BS948" s="66"/>
      <c r="BT948" s="66"/>
      <c r="BU948" s="66"/>
      <c r="BV948" s="66"/>
      <c r="BW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66"/>
      <c r="AU949" s="66"/>
      <c r="AV949" s="66"/>
      <c r="AW949" s="66"/>
      <c r="AX949" s="66"/>
      <c r="AY949" s="66"/>
      <c r="AZ949" s="66"/>
      <c r="BA949" s="66"/>
      <c r="BB949" s="66"/>
      <c r="BC949" s="66"/>
      <c r="BD949" s="66"/>
      <c r="BE949" s="66"/>
      <c r="BF949" s="66"/>
      <c r="BG949" s="66"/>
      <c r="BH949" s="66"/>
      <c r="BI949" s="66"/>
      <c r="BJ949" s="66"/>
      <c r="BK949" s="66"/>
      <c r="BL949" s="66"/>
      <c r="BM949" s="66"/>
      <c r="BN949" s="66"/>
      <c r="BO949" s="66"/>
      <c r="BP949" s="66"/>
      <c r="BQ949" s="66"/>
      <c r="BR949" s="66"/>
      <c r="BS949" s="66"/>
      <c r="BT949" s="66"/>
      <c r="BU949" s="66"/>
      <c r="BV949" s="66"/>
      <c r="BW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66"/>
      <c r="AU950" s="66"/>
      <c r="AV950" s="66"/>
      <c r="AW950" s="66"/>
      <c r="AX950" s="66"/>
      <c r="AY950" s="66"/>
      <c r="AZ950" s="66"/>
      <c r="BA950" s="66"/>
      <c r="BB950" s="66"/>
      <c r="BC950" s="66"/>
      <c r="BD950" s="66"/>
      <c r="BE950" s="66"/>
      <c r="BF950" s="66"/>
      <c r="BG950" s="66"/>
      <c r="BH950" s="66"/>
      <c r="BI950" s="66"/>
      <c r="BJ950" s="66"/>
      <c r="BK950" s="66"/>
      <c r="BL950" s="66"/>
      <c r="BM950" s="66"/>
      <c r="BN950" s="66"/>
      <c r="BO950" s="66"/>
      <c r="BP950" s="66"/>
      <c r="BQ950" s="66"/>
      <c r="BR950" s="66"/>
      <c r="BS950" s="66"/>
      <c r="BT950" s="66"/>
      <c r="BU950" s="66"/>
      <c r="BV950" s="66"/>
      <c r="BW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  <c r="AS951" s="66"/>
      <c r="AT951" s="66"/>
      <c r="AU951" s="66"/>
      <c r="AV951" s="66"/>
      <c r="AW951" s="66"/>
      <c r="AX951" s="66"/>
      <c r="AY951" s="66"/>
      <c r="AZ951" s="66"/>
      <c r="BA951" s="66"/>
      <c r="BB951" s="66"/>
      <c r="BC951" s="66"/>
      <c r="BD951" s="66"/>
      <c r="BE951" s="66"/>
      <c r="BF951" s="66"/>
      <c r="BG951" s="66"/>
      <c r="BH951" s="66"/>
      <c r="BI951" s="66"/>
      <c r="BJ951" s="66"/>
      <c r="BK951" s="66"/>
      <c r="BL951" s="66"/>
      <c r="BM951" s="66"/>
      <c r="BN951" s="66"/>
      <c r="BO951" s="66"/>
      <c r="BP951" s="66"/>
      <c r="BQ951" s="66"/>
      <c r="BR951" s="66"/>
      <c r="BS951" s="66"/>
      <c r="BT951" s="66"/>
      <c r="BU951" s="66"/>
      <c r="BV951" s="66"/>
      <c r="BW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66"/>
      <c r="AU952" s="66"/>
      <c r="AV952" s="66"/>
      <c r="AW952" s="66"/>
      <c r="AX952" s="66"/>
      <c r="AY952" s="66"/>
      <c r="AZ952" s="66"/>
      <c r="BA952" s="66"/>
      <c r="BB952" s="66"/>
      <c r="BC952" s="66"/>
      <c r="BD952" s="66"/>
      <c r="BE952" s="66"/>
      <c r="BF952" s="66"/>
      <c r="BG952" s="66"/>
      <c r="BH952" s="66"/>
      <c r="BI952" s="66"/>
      <c r="BJ952" s="66"/>
      <c r="BK952" s="66"/>
      <c r="BL952" s="66"/>
      <c r="BM952" s="66"/>
      <c r="BN952" s="66"/>
      <c r="BO952" s="66"/>
      <c r="BP952" s="66"/>
      <c r="BQ952" s="66"/>
      <c r="BR952" s="66"/>
      <c r="BS952" s="66"/>
      <c r="BT952" s="66"/>
      <c r="BU952" s="66"/>
      <c r="BV952" s="66"/>
      <c r="BW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66"/>
      <c r="AU953" s="66"/>
      <c r="AV953" s="66"/>
      <c r="AW953" s="66"/>
      <c r="AX953" s="66"/>
      <c r="AY953" s="66"/>
      <c r="AZ953" s="66"/>
      <c r="BA953" s="66"/>
      <c r="BB953" s="66"/>
      <c r="BC953" s="66"/>
      <c r="BD953" s="66"/>
      <c r="BE953" s="66"/>
      <c r="BF953" s="66"/>
      <c r="BG953" s="66"/>
      <c r="BH953" s="66"/>
      <c r="BI953" s="66"/>
      <c r="BJ953" s="66"/>
      <c r="BK953" s="66"/>
      <c r="BL953" s="66"/>
      <c r="BM953" s="66"/>
      <c r="BN953" s="66"/>
      <c r="BO953" s="66"/>
      <c r="BP953" s="66"/>
      <c r="BQ953" s="66"/>
      <c r="BR953" s="66"/>
      <c r="BS953" s="66"/>
      <c r="BT953" s="66"/>
      <c r="BU953" s="66"/>
      <c r="BV953" s="66"/>
      <c r="BW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66"/>
      <c r="AU954" s="66"/>
      <c r="AV954" s="66"/>
      <c r="AW954" s="66"/>
      <c r="AX954" s="66"/>
      <c r="AY954" s="66"/>
      <c r="AZ954" s="66"/>
      <c r="BA954" s="66"/>
      <c r="BB954" s="66"/>
      <c r="BC954" s="66"/>
      <c r="BD954" s="66"/>
      <c r="BE954" s="66"/>
      <c r="BF954" s="66"/>
      <c r="BG954" s="66"/>
      <c r="BH954" s="66"/>
      <c r="BI954" s="66"/>
      <c r="BJ954" s="66"/>
      <c r="BK954" s="66"/>
      <c r="BL954" s="66"/>
      <c r="BM954" s="66"/>
      <c r="BN954" s="66"/>
      <c r="BO954" s="66"/>
      <c r="BP954" s="66"/>
      <c r="BQ954" s="66"/>
      <c r="BR954" s="66"/>
      <c r="BS954" s="66"/>
      <c r="BT954" s="66"/>
      <c r="BU954" s="66"/>
      <c r="BV954" s="66"/>
      <c r="BW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66"/>
      <c r="AU955" s="66"/>
      <c r="AV955" s="66"/>
      <c r="AW955" s="66"/>
      <c r="AX955" s="66"/>
      <c r="AY955" s="66"/>
      <c r="AZ955" s="66"/>
      <c r="BA955" s="66"/>
      <c r="BB955" s="66"/>
      <c r="BC955" s="66"/>
      <c r="BD955" s="66"/>
      <c r="BE955" s="66"/>
      <c r="BF955" s="66"/>
      <c r="BG955" s="66"/>
      <c r="BH955" s="66"/>
      <c r="BI955" s="66"/>
      <c r="BJ955" s="66"/>
      <c r="BK955" s="66"/>
      <c r="BL955" s="66"/>
      <c r="BM955" s="66"/>
      <c r="BN955" s="66"/>
      <c r="BO955" s="66"/>
      <c r="BP955" s="66"/>
      <c r="BQ955" s="66"/>
      <c r="BR955" s="66"/>
      <c r="BS955" s="66"/>
      <c r="BT955" s="66"/>
      <c r="BU955" s="66"/>
      <c r="BV955" s="66"/>
      <c r="BW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66"/>
      <c r="AU956" s="66"/>
      <c r="AV956" s="66"/>
      <c r="AW956" s="66"/>
      <c r="AX956" s="66"/>
      <c r="AY956" s="66"/>
      <c r="AZ956" s="66"/>
      <c r="BA956" s="66"/>
      <c r="BB956" s="66"/>
      <c r="BC956" s="66"/>
      <c r="BD956" s="66"/>
      <c r="BE956" s="66"/>
      <c r="BF956" s="66"/>
      <c r="BG956" s="66"/>
      <c r="BH956" s="66"/>
      <c r="BI956" s="66"/>
      <c r="BJ956" s="66"/>
      <c r="BK956" s="66"/>
      <c r="BL956" s="66"/>
      <c r="BM956" s="66"/>
      <c r="BN956" s="66"/>
      <c r="BO956" s="66"/>
      <c r="BP956" s="66"/>
      <c r="BQ956" s="66"/>
      <c r="BR956" s="66"/>
      <c r="BS956" s="66"/>
      <c r="BT956" s="66"/>
      <c r="BU956" s="66"/>
      <c r="BV956" s="66"/>
      <c r="BW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  <c r="AS957" s="66"/>
      <c r="AT957" s="66"/>
      <c r="AU957" s="66"/>
      <c r="AV957" s="66"/>
      <c r="AW957" s="66"/>
      <c r="AX957" s="66"/>
      <c r="AY957" s="66"/>
      <c r="AZ957" s="66"/>
      <c r="BA957" s="66"/>
      <c r="BB957" s="66"/>
      <c r="BC957" s="66"/>
      <c r="BD957" s="66"/>
      <c r="BE957" s="66"/>
      <c r="BF957" s="66"/>
      <c r="BG957" s="66"/>
      <c r="BH957" s="66"/>
      <c r="BI957" s="66"/>
      <c r="BJ957" s="66"/>
      <c r="BK957" s="66"/>
      <c r="BL957" s="66"/>
      <c r="BM957" s="66"/>
      <c r="BN957" s="66"/>
      <c r="BO957" s="66"/>
      <c r="BP957" s="66"/>
      <c r="BQ957" s="66"/>
      <c r="BR957" s="66"/>
      <c r="BS957" s="66"/>
      <c r="BT957" s="66"/>
      <c r="BU957" s="66"/>
      <c r="BV957" s="66"/>
      <c r="BW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66"/>
      <c r="AU958" s="66"/>
      <c r="AV958" s="66"/>
      <c r="AW958" s="66"/>
      <c r="AX958" s="66"/>
      <c r="AY958" s="66"/>
      <c r="AZ958" s="66"/>
      <c r="BA958" s="66"/>
      <c r="BB958" s="66"/>
      <c r="BC958" s="66"/>
      <c r="BD958" s="66"/>
      <c r="BE958" s="66"/>
      <c r="BF958" s="66"/>
      <c r="BG958" s="66"/>
      <c r="BH958" s="66"/>
      <c r="BI958" s="66"/>
      <c r="BJ958" s="66"/>
      <c r="BK958" s="66"/>
      <c r="BL958" s="66"/>
      <c r="BM958" s="66"/>
      <c r="BN958" s="66"/>
      <c r="BO958" s="66"/>
      <c r="BP958" s="66"/>
      <c r="BQ958" s="66"/>
      <c r="BR958" s="66"/>
      <c r="BS958" s="66"/>
      <c r="BT958" s="66"/>
      <c r="BU958" s="66"/>
      <c r="BV958" s="66"/>
      <c r="BW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66"/>
      <c r="AU959" s="66"/>
      <c r="AV959" s="66"/>
      <c r="AW959" s="66"/>
      <c r="AX959" s="66"/>
      <c r="AY959" s="66"/>
      <c r="AZ959" s="66"/>
      <c r="BA959" s="66"/>
      <c r="BB959" s="66"/>
      <c r="BC959" s="66"/>
      <c r="BD959" s="66"/>
      <c r="BE959" s="66"/>
      <c r="BF959" s="66"/>
      <c r="BG959" s="66"/>
      <c r="BH959" s="66"/>
      <c r="BI959" s="66"/>
      <c r="BJ959" s="66"/>
      <c r="BK959" s="66"/>
      <c r="BL959" s="66"/>
      <c r="BM959" s="66"/>
      <c r="BN959" s="66"/>
      <c r="BO959" s="66"/>
      <c r="BP959" s="66"/>
      <c r="BQ959" s="66"/>
      <c r="BR959" s="66"/>
      <c r="BS959" s="66"/>
      <c r="BT959" s="66"/>
      <c r="BU959" s="66"/>
      <c r="BV959" s="66"/>
      <c r="BW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66"/>
      <c r="AU960" s="66"/>
      <c r="AV960" s="66"/>
      <c r="AW960" s="66"/>
      <c r="AX960" s="66"/>
      <c r="AY960" s="66"/>
      <c r="AZ960" s="66"/>
      <c r="BA960" s="66"/>
      <c r="BB960" s="66"/>
      <c r="BC960" s="66"/>
      <c r="BD960" s="66"/>
      <c r="BE960" s="66"/>
      <c r="BF960" s="66"/>
      <c r="BG960" s="66"/>
      <c r="BH960" s="66"/>
      <c r="BI960" s="66"/>
      <c r="BJ960" s="66"/>
      <c r="BK960" s="66"/>
      <c r="BL960" s="66"/>
      <c r="BM960" s="66"/>
      <c r="BN960" s="66"/>
      <c r="BO960" s="66"/>
      <c r="BP960" s="66"/>
      <c r="BQ960" s="66"/>
      <c r="BR960" s="66"/>
      <c r="BS960" s="66"/>
      <c r="BT960" s="66"/>
      <c r="BU960" s="66"/>
      <c r="BV960" s="66"/>
      <c r="BW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66"/>
      <c r="AU961" s="66"/>
      <c r="AV961" s="66"/>
      <c r="AW961" s="66"/>
      <c r="AX961" s="66"/>
      <c r="AY961" s="66"/>
      <c r="AZ961" s="66"/>
      <c r="BA961" s="66"/>
      <c r="BB961" s="66"/>
      <c r="BC961" s="66"/>
      <c r="BD961" s="66"/>
      <c r="BE961" s="66"/>
      <c r="BF961" s="66"/>
      <c r="BG961" s="66"/>
      <c r="BH961" s="66"/>
      <c r="BI961" s="66"/>
      <c r="BJ961" s="66"/>
      <c r="BK961" s="66"/>
      <c r="BL961" s="66"/>
      <c r="BM961" s="66"/>
      <c r="BN961" s="66"/>
      <c r="BO961" s="66"/>
      <c r="BP961" s="66"/>
      <c r="BQ961" s="66"/>
      <c r="BR961" s="66"/>
      <c r="BS961" s="66"/>
      <c r="BT961" s="66"/>
      <c r="BU961" s="66"/>
      <c r="BV961" s="66"/>
      <c r="BW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  <c r="AS962" s="66"/>
      <c r="AT962" s="66"/>
      <c r="AU962" s="66"/>
      <c r="AV962" s="66"/>
      <c r="AW962" s="66"/>
      <c r="AX962" s="66"/>
      <c r="AY962" s="66"/>
      <c r="AZ962" s="66"/>
      <c r="BA962" s="66"/>
      <c r="BB962" s="66"/>
      <c r="BC962" s="66"/>
      <c r="BD962" s="66"/>
      <c r="BE962" s="66"/>
      <c r="BF962" s="66"/>
      <c r="BG962" s="66"/>
      <c r="BH962" s="66"/>
      <c r="BI962" s="66"/>
      <c r="BJ962" s="66"/>
      <c r="BK962" s="66"/>
      <c r="BL962" s="66"/>
      <c r="BM962" s="66"/>
      <c r="BN962" s="66"/>
      <c r="BO962" s="66"/>
      <c r="BP962" s="66"/>
      <c r="BQ962" s="66"/>
      <c r="BR962" s="66"/>
      <c r="BS962" s="66"/>
      <c r="BT962" s="66"/>
      <c r="BU962" s="66"/>
      <c r="BV962" s="66"/>
      <c r="BW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6"/>
      <c r="AS963" s="66"/>
      <c r="AT963" s="66"/>
      <c r="AU963" s="66"/>
      <c r="AV963" s="66"/>
      <c r="AW963" s="66"/>
      <c r="AX963" s="66"/>
      <c r="AY963" s="66"/>
      <c r="AZ963" s="66"/>
      <c r="BA963" s="66"/>
      <c r="BB963" s="66"/>
      <c r="BC963" s="66"/>
      <c r="BD963" s="66"/>
      <c r="BE963" s="66"/>
      <c r="BF963" s="66"/>
      <c r="BG963" s="66"/>
      <c r="BH963" s="66"/>
      <c r="BI963" s="66"/>
      <c r="BJ963" s="66"/>
      <c r="BK963" s="66"/>
      <c r="BL963" s="66"/>
      <c r="BM963" s="66"/>
      <c r="BN963" s="66"/>
      <c r="BO963" s="66"/>
      <c r="BP963" s="66"/>
      <c r="BQ963" s="66"/>
      <c r="BR963" s="66"/>
      <c r="BS963" s="66"/>
      <c r="BT963" s="66"/>
      <c r="BU963" s="66"/>
      <c r="BV963" s="66"/>
      <c r="BW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  <c r="AS964" s="66"/>
      <c r="AT964" s="66"/>
      <c r="AU964" s="66"/>
      <c r="AV964" s="66"/>
      <c r="AW964" s="66"/>
      <c r="AX964" s="66"/>
      <c r="AY964" s="66"/>
      <c r="AZ964" s="66"/>
      <c r="BA964" s="66"/>
      <c r="BB964" s="66"/>
      <c r="BC964" s="66"/>
      <c r="BD964" s="66"/>
      <c r="BE964" s="66"/>
      <c r="BF964" s="66"/>
      <c r="BG964" s="66"/>
      <c r="BH964" s="66"/>
      <c r="BI964" s="66"/>
      <c r="BJ964" s="66"/>
      <c r="BK964" s="66"/>
      <c r="BL964" s="66"/>
      <c r="BM964" s="66"/>
      <c r="BN964" s="66"/>
      <c r="BO964" s="66"/>
      <c r="BP964" s="66"/>
      <c r="BQ964" s="66"/>
      <c r="BR964" s="66"/>
      <c r="BS964" s="66"/>
      <c r="BT964" s="66"/>
      <c r="BU964" s="66"/>
      <c r="BV964" s="66"/>
      <c r="BW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66"/>
      <c r="AU965" s="66"/>
      <c r="AV965" s="66"/>
      <c r="AW965" s="66"/>
      <c r="AX965" s="66"/>
      <c r="AY965" s="66"/>
      <c r="AZ965" s="66"/>
      <c r="BA965" s="66"/>
      <c r="BB965" s="66"/>
      <c r="BC965" s="66"/>
      <c r="BD965" s="66"/>
      <c r="BE965" s="66"/>
      <c r="BF965" s="66"/>
      <c r="BG965" s="66"/>
      <c r="BH965" s="66"/>
      <c r="BI965" s="66"/>
      <c r="BJ965" s="66"/>
      <c r="BK965" s="66"/>
      <c r="BL965" s="66"/>
      <c r="BM965" s="66"/>
      <c r="BN965" s="66"/>
      <c r="BO965" s="66"/>
      <c r="BP965" s="66"/>
      <c r="BQ965" s="66"/>
      <c r="BR965" s="66"/>
      <c r="BS965" s="66"/>
      <c r="BT965" s="66"/>
      <c r="BU965" s="66"/>
      <c r="BV965" s="66"/>
      <c r="BW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  <c r="AS966" s="66"/>
      <c r="AT966" s="66"/>
      <c r="AU966" s="66"/>
      <c r="AV966" s="66"/>
      <c r="AW966" s="66"/>
      <c r="AX966" s="66"/>
      <c r="AY966" s="66"/>
      <c r="AZ966" s="66"/>
      <c r="BA966" s="66"/>
      <c r="BB966" s="66"/>
      <c r="BC966" s="66"/>
      <c r="BD966" s="66"/>
      <c r="BE966" s="66"/>
      <c r="BF966" s="66"/>
      <c r="BG966" s="66"/>
      <c r="BH966" s="66"/>
      <c r="BI966" s="66"/>
      <c r="BJ966" s="66"/>
      <c r="BK966" s="66"/>
      <c r="BL966" s="66"/>
      <c r="BM966" s="66"/>
      <c r="BN966" s="66"/>
      <c r="BO966" s="66"/>
      <c r="BP966" s="66"/>
      <c r="BQ966" s="66"/>
      <c r="BR966" s="66"/>
      <c r="BS966" s="66"/>
      <c r="BT966" s="66"/>
      <c r="BU966" s="66"/>
      <c r="BV966" s="66"/>
      <c r="BW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66"/>
      <c r="AU967" s="66"/>
      <c r="AV967" s="66"/>
      <c r="AW967" s="66"/>
      <c r="AX967" s="66"/>
      <c r="AY967" s="66"/>
      <c r="AZ967" s="66"/>
      <c r="BA967" s="66"/>
      <c r="BB967" s="66"/>
      <c r="BC967" s="66"/>
      <c r="BD967" s="66"/>
      <c r="BE967" s="66"/>
      <c r="BF967" s="66"/>
      <c r="BG967" s="66"/>
      <c r="BH967" s="66"/>
      <c r="BI967" s="66"/>
      <c r="BJ967" s="66"/>
      <c r="BK967" s="66"/>
      <c r="BL967" s="66"/>
      <c r="BM967" s="66"/>
      <c r="BN967" s="66"/>
      <c r="BO967" s="66"/>
      <c r="BP967" s="66"/>
      <c r="BQ967" s="66"/>
      <c r="BR967" s="66"/>
      <c r="BS967" s="66"/>
      <c r="BT967" s="66"/>
      <c r="BU967" s="66"/>
      <c r="BV967" s="66"/>
      <c r="BW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66"/>
      <c r="AU968" s="66"/>
      <c r="AV968" s="66"/>
      <c r="AW968" s="66"/>
      <c r="AX968" s="66"/>
      <c r="AY968" s="66"/>
      <c r="AZ968" s="66"/>
      <c r="BA968" s="66"/>
      <c r="BB968" s="66"/>
      <c r="BC968" s="66"/>
      <c r="BD968" s="66"/>
      <c r="BE968" s="66"/>
      <c r="BF968" s="66"/>
      <c r="BG968" s="66"/>
      <c r="BH968" s="66"/>
      <c r="BI968" s="66"/>
      <c r="BJ968" s="66"/>
      <c r="BK968" s="66"/>
      <c r="BL968" s="66"/>
      <c r="BM968" s="66"/>
      <c r="BN968" s="66"/>
      <c r="BO968" s="66"/>
      <c r="BP968" s="66"/>
      <c r="BQ968" s="66"/>
      <c r="BR968" s="66"/>
      <c r="BS968" s="66"/>
      <c r="BT968" s="66"/>
      <c r="BU968" s="66"/>
      <c r="BV968" s="66"/>
      <c r="BW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66"/>
      <c r="AU969" s="66"/>
      <c r="AV969" s="66"/>
      <c r="AW969" s="66"/>
      <c r="AX969" s="66"/>
      <c r="AY969" s="66"/>
      <c r="AZ969" s="66"/>
      <c r="BA969" s="66"/>
      <c r="BB969" s="66"/>
      <c r="BC969" s="66"/>
      <c r="BD969" s="66"/>
      <c r="BE969" s="66"/>
      <c r="BF969" s="66"/>
      <c r="BG969" s="66"/>
      <c r="BH969" s="66"/>
      <c r="BI969" s="66"/>
      <c r="BJ969" s="66"/>
      <c r="BK969" s="66"/>
      <c r="BL969" s="66"/>
      <c r="BM969" s="66"/>
      <c r="BN969" s="66"/>
      <c r="BO969" s="66"/>
      <c r="BP969" s="66"/>
      <c r="BQ969" s="66"/>
      <c r="BR969" s="66"/>
      <c r="BS969" s="66"/>
      <c r="BT969" s="66"/>
      <c r="BU969" s="66"/>
      <c r="BV969" s="66"/>
      <c r="BW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6"/>
      <c r="AS970" s="66"/>
      <c r="AT970" s="66"/>
      <c r="AU970" s="66"/>
      <c r="AV970" s="66"/>
      <c r="AW970" s="66"/>
      <c r="AX970" s="66"/>
      <c r="AY970" s="66"/>
      <c r="AZ970" s="66"/>
      <c r="BA970" s="66"/>
      <c r="BB970" s="66"/>
      <c r="BC970" s="66"/>
      <c r="BD970" s="66"/>
      <c r="BE970" s="66"/>
      <c r="BF970" s="66"/>
      <c r="BG970" s="66"/>
      <c r="BH970" s="66"/>
      <c r="BI970" s="66"/>
      <c r="BJ970" s="66"/>
      <c r="BK970" s="66"/>
      <c r="BL970" s="66"/>
      <c r="BM970" s="66"/>
      <c r="BN970" s="66"/>
      <c r="BO970" s="66"/>
      <c r="BP970" s="66"/>
      <c r="BQ970" s="66"/>
      <c r="BR970" s="66"/>
      <c r="BS970" s="66"/>
      <c r="BT970" s="66"/>
      <c r="BU970" s="66"/>
      <c r="BV970" s="66"/>
      <c r="BW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  <c r="AS971" s="66"/>
      <c r="AT971" s="66"/>
      <c r="AU971" s="66"/>
      <c r="AV971" s="66"/>
      <c r="AW971" s="66"/>
      <c r="AX971" s="66"/>
      <c r="AY971" s="66"/>
      <c r="AZ971" s="66"/>
      <c r="BA971" s="66"/>
      <c r="BB971" s="66"/>
      <c r="BC971" s="66"/>
      <c r="BD971" s="66"/>
      <c r="BE971" s="66"/>
      <c r="BF971" s="66"/>
      <c r="BG971" s="66"/>
      <c r="BH971" s="66"/>
      <c r="BI971" s="66"/>
      <c r="BJ971" s="66"/>
      <c r="BK971" s="66"/>
      <c r="BL971" s="66"/>
      <c r="BM971" s="66"/>
      <c r="BN971" s="66"/>
      <c r="BO971" s="66"/>
      <c r="BP971" s="66"/>
      <c r="BQ971" s="66"/>
      <c r="BR971" s="66"/>
      <c r="BS971" s="66"/>
      <c r="BT971" s="66"/>
      <c r="BU971" s="66"/>
      <c r="BV971" s="66"/>
      <c r="BW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  <c r="AS972" s="66"/>
      <c r="AT972" s="66"/>
      <c r="AU972" s="66"/>
      <c r="AV972" s="66"/>
      <c r="AW972" s="66"/>
      <c r="AX972" s="66"/>
      <c r="AY972" s="66"/>
      <c r="AZ972" s="66"/>
      <c r="BA972" s="66"/>
      <c r="BB972" s="66"/>
      <c r="BC972" s="66"/>
      <c r="BD972" s="66"/>
      <c r="BE972" s="66"/>
      <c r="BF972" s="66"/>
      <c r="BG972" s="66"/>
      <c r="BH972" s="66"/>
      <c r="BI972" s="66"/>
      <c r="BJ972" s="66"/>
      <c r="BK972" s="66"/>
      <c r="BL972" s="66"/>
      <c r="BM972" s="66"/>
      <c r="BN972" s="66"/>
      <c r="BO972" s="66"/>
      <c r="BP972" s="66"/>
      <c r="BQ972" s="66"/>
      <c r="BR972" s="66"/>
      <c r="BS972" s="66"/>
      <c r="BT972" s="66"/>
      <c r="BU972" s="66"/>
      <c r="BV972" s="66"/>
      <c r="BW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66"/>
      <c r="AU973" s="66"/>
      <c r="AV973" s="66"/>
      <c r="AW973" s="66"/>
      <c r="AX973" s="66"/>
      <c r="AY973" s="66"/>
      <c r="AZ973" s="66"/>
      <c r="BA973" s="66"/>
      <c r="BB973" s="66"/>
      <c r="BC973" s="66"/>
      <c r="BD973" s="66"/>
      <c r="BE973" s="66"/>
      <c r="BF973" s="66"/>
      <c r="BG973" s="66"/>
      <c r="BH973" s="66"/>
      <c r="BI973" s="66"/>
      <c r="BJ973" s="66"/>
      <c r="BK973" s="66"/>
      <c r="BL973" s="66"/>
      <c r="BM973" s="66"/>
      <c r="BN973" s="66"/>
      <c r="BO973" s="66"/>
      <c r="BP973" s="66"/>
      <c r="BQ973" s="66"/>
      <c r="BR973" s="66"/>
      <c r="BS973" s="66"/>
      <c r="BT973" s="66"/>
      <c r="BU973" s="66"/>
      <c r="BV973" s="66"/>
      <c r="BW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  <c r="AS974" s="66"/>
      <c r="AT974" s="66"/>
      <c r="AU974" s="66"/>
      <c r="AV974" s="66"/>
      <c r="AW974" s="66"/>
      <c r="AX974" s="66"/>
      <c r="AY974" s="66"/>
      <c r="AZ974" s="66"/>
      <c r="BA974" s="66"/>
      <c r="BB974" s="66"/>
      <c r="BC974" s="66"/>
      <c r="BD974" s="66"/>
      <c r="BE974" s="66"/>
      <c r="BF974" s="66"/>
      <c r="BG974" s="66"/>
      <c r="BH974" s="66"/>
      <c r="BI974" s="66"/>
      <c r="BJ974" s="66"/>
      <c r="BK974" s="66"/>
      <c r="BL974" s="66"/>
      <c r="BM974" s="66"/>
      <c r="BN974" s="66"/>
      <c r="BO974" s="66"/>
      <c r="BP974" s="66"/>
      <c r="BQ974" s="66"/>
      <c r="BR974" s="66"/>
      <c r="BS974" s="66"/>
      <c r="BT974" s="66"/>
      <c r="BU974" s="66"/>
      <c r="BV974" s="66"/>
      <c r="BW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66"/>
      <c r="AU975" s="66"/>
      <c r="AV975" s="66"/>
      <c r="AW975" s="66"/>
      <c r="AX975" s="66"/>
      <c r="AY975" s="66"/>
      <c r="AZ975" s="66"/>
      <c r="BA975" s="66"/>
      <c r="BB975" s="66"/>
      <c r="BC975" s="66"/>
      <c r="BD975" s="66"/>
      <c r="BE975" s="66"/>
      <c r="BF975" s="66"/>
      <c r="BG975" s="66"/>
      <c r="BH975" s="66"/>
      <c r="BI975" s="66"/>
      <c r="BJ975" s="66"/>
      <c r="BK975" s="66"/>
      <c r="BL975" s="66"/>
      <c r="BM975" s="66"/>
      <c r="BN975" s="66"/>
      <c r="BO975" s="66"/>
      <c r="BP975" s="66"/>
      <c r="BQ975" s="66"/>
      <c r="BR975" s="66"/>
      <c r="BS975" s="66"/>
      <c r="BT975" s="66"/>
      <c r="BU975" s="66"/>
      <c r="BV975" s="66"/>
      <c r="BW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66"/>
      <c r="AU976" s="66"/>
      <c r="AV976" s="66"/>
      <c r="AW976" s="66"/>
      <c r="AX976" s="66"/>
      <c r="AY976" s="66"/>
      <c r="AZ976" s="66"/>
      <c r="BA976" s="66"/>
      <c r="BB976" s="66"/>
      <c r="BC976" s="66"/>
      <c r="BD976" s="66"/>
      <c r="BE976" s="66"/>
      <c r="BF976" s="66"/>
      <c r="BG976" s="66"/>
      <c r="BH976" s="66"/>
      <c r="BI976" s="66"/>
      <c r="BJ976" s="66"/>
      <c r="BK976" s="66"/>
      <c r="BL976" s="66"/>
      <c r="BM976" s="66"/>
      <c r="BN976" s="66"/>
      <c r="BO976" s="66"/>
      <c r="BP976" s="66"/>
      <c r="BQ976" s="66"/>
      <c r="BR976" s="66"/>
      <c r="BS976" s="66"/>
      <c r="BT976" s="66"/>
      <c r="BU976" s="66"/>
      <c r="BV976" s="66"/>
      <c r="BW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66"/>
      <c r="AU977" s="66"/>
      <c r="AV977" s="66"/>
      <c r="AW977" s="66"/>
      <c r="AX977" s="66"/>
      <c r="AY977" s="66"/>
      <c r="AZ977" s="66"/>
      <c r="BA977" s="66"/>
      <c r="BB977" s="66"/>
      <c r="BC977" s="66"/>
      <c r="BD977" s="66"/>
      <c r="BE977" s="66"/>
      <c r="BF977" s="66"/>
      <c r="BG977" s="66"/>
      <c r="BH977" s="66"/>
      <c r="BI977" s="66"/>
      <c r="BJ977" s="66"/>
      <c r="BK977" s="66"/>
      <c r="BL977" s="66"/>
      <c r="BM977" s="66"/>
      <c r="BN977" s="66"/>
      <c r="BO977" s="66"/>
      <c r="BP977" s="66"/>
      <c r="BQ977" s="66"/>
      <c r="BR977" s="66"/>
      <c r="BS977" s="66"/>
      <c r="BT977" s="66"/>
      <c r="BU977" s="66"/>
      <c r="BV977" s="66"/>
      <c r="BW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66"/>
      <c r="AU978" s="66"/>
      <c r="AV978" s="66"/>
      <c r="AW978" s="66"/>
      <c r="AX978" s="66"/>
      <c r="AY978" s="66"/>
      <c r="AZ978" s="66"/>
      <c r="BA978" s="66"/>
      <c r="BB978" s="66"/>
      <c r="BC978" s="66"/>
      <c r="BD978" s="66"/>
      <c r="BE978" s="66"/>
      <c r="BF978" s="66"/>
      <c r="BG978" s="66"/>
      <c r="BH978" s="66"/>
      <c r="BI978" s="66"/>
      <c r="BJ978" s="66"/>
      <c r="BK978" s="66"/>
      <c r="BL978" s="66"/>
      <c r="BM978" s="66"/>
      <c r="BN978" s="66"/>
      <c r="BO978" s="66"/>
      <c r="BP978" s="66"/>
      <c r="BQ978" s="66"/>
      <c r="BR978" s="66"/>
      <c r="BS978" s="66"/>
      <c r="BT978" s="66"/>
      <c r="BU978" s="66"/>
      <c r="BV978" s="66"/>
      <c r="BW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66"/>
      <c r="AU979" s="66"/>
      <c r="AV979" s="66"/>
      <c r="AW979" s="66"/>
      <c r="AX979" s="66"/>
      <c r="AY979" s="66"/>
      <c r="AZ979" s="66"/>
      <c r="BA979" s="66"/>
      <c r="BB979" s="66"/>
      <c r="BC979" s="66"/>
      <c r="BD979" s="66"/>
      <c r="BE979" s="66"/>
      <c r="BF979" s="66"/>
      <c r="BG979" s="66"/>
      <c r="BH979" s="66"/>
      <c r="BI979" s="66"/>
      <c r="BJ979" s="66"/>
      <c r="BK979" s="66"/>
      <c r="BL979" s="66"/>
      <c r="BM979" s="66"/>
      <c r="BN979" s="66"/>
      <c r="BO979" s="66"/>
      <c r="BP979" s="66"/>
      <c r="BQ979" s="66"/>
      <c r="BR979" s="66"/>
      <c r="BS979" s="66"/>
      <c r="BT979" s="66"/>
      <c r="BU979" s="66"/>
      <c r="BV979" s="66"/>
      <c r="BW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66"/>
      <c r="AU980" s="66"/>
      <c r="AV980" s="66"/>
      <c r="AW980" s="66"/>
      <c r="AX980" s="66"/>
      <c r="AY980" s="66"/>
      <c r="AZ980" s="66"/>
      <c r="BA980" s="66"/>
      <c r="BB980" s="66"/>
      <c r="BC980" s="66"/>
      <c r="BD980" s="66"/>
      <c r="BE980" s="66"/>
      <c r="BF980" s="66"/>
      <c r="BG980" s="66"/>
      <c r="BH980" s="66"/>
      <c r="BI980" s="66"/>
      <c r="BJ980" s="66"/>
      <c r="BK980" s="66"/>
      <c r="BL980" s="66"/>
      <c r="BM980" s="66"/>
      <c r="BN980" s="66"/>
      <c r="BO980" s="66"/>
      <c r="BP980" s="66"/>
      <c r="BQ980" s="66"/>
      <c r="BR980" s="66"/>
      <c r="BS980" s="66"/>
      <c r="BT980" s="66"/>
      <c r="BU980" s="66"/>
      <c r="BV980" s="66"/>
      <c r="BW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66"/>
      <c r="AU981" s="66"/>
      <c r="AV981" s="66"/>
      <c r="AW981" s="66"/>
      <c r="AX981" s="66"/>
      <c r="AY981" s="66"/>
      <c r="AZ981" s="66"/>
      <c r="BA981" s="66"/>
      <c r="BB981" s="66"/>
      <c r="BC981" s="66"/>
      <c r="BD981" s="66"/>
      <c r="BE981" s="66"/>
      <c r="BF981" s="66"/>
      <c r="BG981" s="66"/>
      <c r="BH981" s="66"/>
      <c r="BI981" s="66"/>
      <c r="BJ981" s="66"/>
      <c r="BK981" s="66"/>
      <c r="BL981" s="66"/>
      <c r="BM981" s="66"/>
      <c r="BN981" s="66"/>
      <c r="BO981" s="66"/>
      <c r="BP981" s="66"/>
      <c r="BQ981" s="66"/>
      <c r="BR981" s="66"/>
      <c r="BS981" s="66"/>
      <c r="BT981" s="66"/>
      <c r="BU981" s="66"/>
      <c r="BV981" s="66"/>
      <c r="BW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66"/>
      <c r="AU982" s="66"/>
      <c r="AV982" s="66"/>
      <c r="AW982" s="66"/>
      <c r="AX982" s="66"/>
      <c r="AY982" s="66"/>
      <c r="AZ982" s="66"/>
      <c r="BA982" s="66"/>
      <c r="BB982" s="66"/>
      <c r="BC982" s="66"/>
      <c r="BD982" s="66"/>
      <c r="BE982" s="66"/>
      <c r="BF982" s="66"/>
      <c r="BG982" s="66"/>
      <c r="BH982" s="66"/>
      <c r="BI982" s="66"/>
      <c r="BJ982" s="66"/>
      <c r="BK982" s="66"/>
      <c r="BL982" s="66"/>
      <c r="BM982" s="66"/>
      <c r="BN982" s="66"/>
      <c r="BO982" s="66"/>
      <c r="BP982" s="66"/>
      <c r="BQ982" s="66"/>
      <c r="BR982" s="66"/>
      <c r="BS982" s="66"/>
      <c r="BT982" s="66"/>
      <c r="BU982" s="66"/>
      <c r="BV982" s="66"/>
      <c r="BW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66"/>
      <c r="AU983" s="66"/>
      <c r="AV983" s="66"/>
      <c r="AW983" s="66"/>
      <c r="AX983" s="66"/>
      <c r="AY983" s="66"/>
      <c r="AZ983" s="66"/>
      <c r="BA983" s="66"/>
      <c r="BB983" s="66"/>
      <c r="BC983" s="66"/>
      <c r="BD983" s="66"/>
      <c r="BE983" s="66"/>
      <c r="BF983" s="66"/>
      <c r="BG983" s="66"/>
      <c r="BH983" s="66"/>
      <c r="BI983" s="66"/>
      <c r="BJ983" s="66"/>
      <c r="BK983" s="66"/>
      <c r="BL983" s="66"/>
      <c r="BM983" s="66"/>
      <c r="BN983" s="66"/>
      <c r="BO983" s="66"/>
      <c r="BP983" s="66"/>
      <c r="BQ983" s="66"/>
      <c r="BR983" s="66"/>
      <c r="BS983" s="66"/>
      <c r="BT983" s="66"/>
      <c r="BU983" s="66"/>
      <c r="BV983" s="66"/>
      <c r="BW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66"/>
      <c r="AU984" s="66"/>
      <c r="AV984" s="66"/>
      <c r="AW984" s="66"/>
      <c r="AX984" s="66"/>
      <c r="AY984" s="66"/>
      <c r="AZ984" s="66"/>
      <c r="BA984" s="66"/>
      <c r="BB984" s="66"/>
      <c r="BC984" s="66"/>
      <c r="BD984" s="66"/>
      <c r="BE984" s="66"/>
      <c r="BF984" s="66"/>
      <c r="BG984" s="66"/>
      <c r="BH984" s="66"/>
      <c r="BI984" s="66"/>
      <c r="BJ984" s="66"/>
      <c r="BK984" s="66"/>
      <c r="BL984" s="66"/>
      <c r="BM984" s="66"/>
      <c r="BN984" s="66"/>
      <c r="BO984" s="66"/>
      <c r="BP984" s="66"/>
      <c r="BQ984" s="66"/>
      <c r="BR984" s="66"/>
      <c r="BS984" s="66"/>
      <c r="BT984" s="66"/>
      <c r="BU984" s="66"/>
      <c r="BV984" s="66"/>
      <c r="BW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66"/>
      <c r="AU985" s="66"/>
      <c r="AV985" s="66"/>
      <c r="AW985" s="66"/>
      <c r="AX985" s="66"/>
      <c r="AY985" s="66"/>
      <c r="AZ985" s="66"/>
      <c r="BA985" s="66"/>
      <c r="BB985" s="66"/>
      <c r="BC985" s="66"/>
      <c r="BD985" s="66"/>
      <c r="BE985" s="66"/>
      <c r="BF985" s="66"/>
      <c r="BG985" s="66"/>
      <c r="BH985" s="66"/>
      <c r="BI985" s="66"/>
      <c r="BJ985" s="66"/>
      <c r="BK985" s="66"/>
      <c r="BL985" s="66"/>
      <c r="BM985" s="66"/>
      <c r="BN985" s="66"/>
      <c r="BO985" s="66"/>
      <c r="BP985" s="66"/>
      <c r="BQ985" s="66"/>
      <c r="BR985" s="66"/>
      <c r="BS985" s="66"/>
      <c r="BT985" s="66"/>
      <c r="BU985" s="66"/>
      <c r="BV985" s="66"/>
      <c r="BW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  <c r="AS986" s="66"/>
      <c r="AT986" s="66"/>
      <c r="AU986" s="66"/>
      <c r="AV986" s="66"/>
      <c r="AW986" s="66"/>
      <c r="AX986" s="66"/>
      <c r="AY986" s="66"/>
      <c r="AZ986" s="66"/>
      <c r="BA986" s="66"/>
      <c r="BB986" s="66"/>
      <c r="BC986" s="66"/>
      <c r="BD986" s="66"/>
      <c r="BE986" s="66"/>
      <c r="BF986" s="66"/>
      <c r="BG986" s="66"/>
      <c r="BH986" s="66"/>
      <c r="BI986" s="66"/>
      <c r="BJ986" s="66"/>
      <c r="BK986" s="66"/>
      <c r="BL986" s="66"/>
      <c r="BM986" s="66"/>
      <c r="BN986" s="66"/>
      <c r="BO986" s="66"/>
      <c r="BP986" s="66"/>
      <c r="BQ986" s="66"/>
      <c r="BR986" s="66"/>
      <c r="BS986" s="66"/>
      <c r="BT986" s="66"/>
      <c r="BU986" s="66"/>
      <c r="BV986" s="66"/>
      <c r="BW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66"/>
      <c r="AU987" s="66"/>
      <c r="AV987" s="66"/>
      <c r="AW987" s="66"/>
      <c r="AX987" s="66"/>
      <c r="AY987" s="66"/>
      <c r="AZ987" s="66"/>
      <c r="BA987" s="66"/>
      <c r="BB987" s="66"/>
      <c r="BC987" s="66"/>
      <c r="BD987" s="66"/>
      <c r="BE987" s="66"/>
      <c r="BF987" s="66"/>
      <c r="BG987" s="66"/>
      <c r="BH987" s="66"/>
      <c r="BI987" s="66"/>
      <c r="BJ987" s="66"/>
      <c r="BK987" s="66"/>
      <c r="BL987" s="66"/>
      <c r="BM987" s="66"/>
      <c r="BN987" s="66"/>
      <c r="BO987" s="66"/>
      <c r="BP987" s="66"/>
      <c r="BQ987" s="66"/>
      <c r="BR987" s="66"/>
      <c r="BS987" s="66"/>
      <c r="BT987" s="66"/>
      <c r="BU987" s="66"/>
      <c r="BV987" s="66"/>
      <c r="BW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66"/>
      <c r="AU988" s="66"/>
      <c r="AV988" s="66"/>
      <c r="AW988" s="66"/>
      <c r="AX988" s="66"/>
      <c r="AY988" s="66"/>
      <c r="AZ988" s="66"/>
      <c r="BA988" s="66"/>
      <c r="BB988" s="66"/>
      <c r="BC988" s="66"/>
      <c r="BD988" s="66"/>
      <c r="BE988" s="66"/>
      <c r="BF988" s="66"/>
      <c r="BG988" s="66"/>
      <c r="BH988" s="66"/>
      <c r="BI988" s="66"/>
      <c r="BJ988" s="66"/>
      <c r="BK988" s="66"/>
      <c r="BL988" s="66"/>
      <c r="BM988" s="66"/>
      <c r="BN988" s="66"/>
      <c r="BO988" s="66"/>
      <c r="BP988" s="66"/>
      <c r="BQ988" s="66"/>
      <c r="BR988" s="66"/>
      <c r="BS988" s="66"/>
      <c r="BT988" s="66"/>
      <c r="BU988" s="66"/>
      <c r="BV988" s="66"/>
      <c r="BW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66"/>
      <c r="AU989" s="66"/>
      <c r="AV989" s="66"/>
      <c r="AW989" s="66"/>
      <c r="AX989" s="66"/>
      <c r="AY989" s="66"/>
      <c r="AZ989" s="66"/>
      <c r="BA989" s="66"/>
      <c r="BB989" s="66"/>
      <c r="BC989" s="66"/>
      <c r="BD989" s="66"/>
      <c r="BE989" s="66"/>
      <c r="BF989" s="66"/>
      <c r="BG989" s="66"/>
      <c r="BH989" s="66"/>
      <c r="BI989" s="66"/>
      <c r="BJ989" s="66"/>
      <c r="BK989" s="66"/>
      <c r="BL989" s="66"/>
      <c r="BM989" s="66"/>
      <c r="BN989" s="66"/>
      <c r="BO989" s="66"/>
      <c r="BP989" s="66"/>
      <c r="BQ989" s="66"/>
      <c r="BR989" s="66"/>
      <c r="BS989" s="66"/>
      <c r="BT989" s="66"/>
      <c r="BU989" s="66"/>
      <c r="BV989" s="66"/>
      <c r="BW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66"/>
      <c r="AZ990" s="66"/>
      <c r="BA990" s="66"/>
      <c r="BB990" s="66"/>
      <c r="BC990" s="66"/>
      <c r="BD990" s="66"/>
      <c r="BE990" s="66"/>
      <c r="BF990" s="66"/>
      <c r="BG990" s="66"/>
      <c r="BH990" s="66"/>
      <c r="BI990" s="66"/>
      <c r="BJ990" s="66"/>
      <c r="BK990" s="66"/>
      <c r="BL990" s="66"/>
      <c r="BM990" s="66"/>
      <c r="BN990" s="66"/>
      <c r="BO990" s="66"/>
      <c r="BP990" s="66"/>
      <c r="BQ990" s="66"/>
      <c r="BR990" s="66"/>
      <c r="BS990" s="66"/>
      <c r="BT990" s="66"/>
      <c r="BU990" s="66"/>
      <c r="BV990" s="66"/>
      <c r="BW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66"/>
      <c r="AZ991" s="66"/>
      <c r="BA991" s="66"/>
      <c r="BB991" s="66"/>
      <c r="BC991" s="66"/>
      <c r="BD991" s="66"/>
      <c r="BE991" s="66"/>
      <c r="BF991" s="66"/>
      <c r="BG991" s="66"/>
      <c r="BH991" s="66"/>
      <c r="BI991" s="66"/>
      <c r="BJ991" s="66"/>
      <c r="BK991" s="66"/>
      <c r="BL991" s="66"/>
      <c r="BM991" s="66"/>
      <c r="BN991" s="66"/>
      <c r="BO991" s="66"/>
      <c r="BP991" s="66"/>
      <c r="BQ991" s="66"/>
      <c r="BR991" s="66"/>
      <c r="BS991" s="66"/>
      <c r="BT991" s="66"/>
      <c r="BU991" s="66"/>
      <c r="BV991" s="66"/>
      <c r="BW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66"/>
      <c r="AU992" s="66"/>
      <c r="AV992" s="66"/>
      <c r="AW992" s="66"/>
      <c r="AX992" s="66"/>
      <c r="AY992" s="66"/>
      <c r="AZ992" s="66"/>
      <c r="BA992" s="66"/>
      <c r="BB992" s="66"/>
      <c r="BC992" s="66"/>
      <c r="BD992" s="66"/>
      <c r="BE992" s="66"/>
      <c r="BF992" s="66"/>
      <c r="BG992" s="66"/>
      <c r="BH992" s="66"/>
      <c r="BI992" s="66"/>
      <c r="BJ992" s="66"/>
      <c r="BK992" s="66"/>
      <c r="BL992" s="66"/>
      <c r="BM992" s="66"/>
      <c r="BN992" s="66"/>
      <c r="BO992" s="66"/>
      <c r="BP992" s="66"/>
      <c r="BQ992" s="66"/>
      <c r="BR992" s="66"/>
      <c r="BS992" s="66"/>
      <c r="BT992" s="66"/>
      <c r="BU992" s="66"/>
      <c r="BV992" s="66"/>
      <c r="BW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66"/>
      <c r="AZ993" s="66"/>
      <c r="BA993" s="66"/>
      <c r="BB993" s="66"/>
      <c r="BC993" s="66"/>
      <c r="BD993" s="66"/>
      <c r="BE993" s="66"/>
      <c r="BF993" s="66"/>
      <c r="BG993" s="66"/>
      <c r="BH993" s="66"/>
      <c r="BI993" s="66"/>
      <c r="BJ993" s="66"/>
      <c r="BK993" s="66"/>
      <c r="BL993" s="66"/>
      <c r="BM993" s="66"/>
      <c r="BN993" s="66"/>
      <c r="BO993" s="66"/>
      <c r="BP993" s="66"/>
      <c r="BQ993" s="66"/>
      <c r="BR993" s="66"/>
      <c r="BS993" s="66"/>
      <c r="BT993" s="66"/>
      <c r="BU993" s="66"/>
      <c r="BV993" s="66"/>
      <c r="BW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66"/>
      <c r="AU994" s="66"/>
      <c r="AV994" s="66"/>
      <c r="AW994" s="66"/>
      <c r="AX994" s="66"/>
      <c r="AY994" s="66"/>
      <c r="AZ994" s="66"/>
      <c r="BA994" s="66"/>
      <c r="BB994" s="66"/>
      <c r="BC994" s="66"/>
      <c r="BD994" s="66"/>
      <c r="BE994" s="66"/>
      <c r="BF994" s="66"/>
      <c r="BG994" s="66"/>
      <c r="BH994" s="66"/>
      <c r="BI994" s="66"/>
      <c r="BJ994" s="66"/>
      <c r="BK994" s="66"/>
      <c r="BL994" s="66"/>
      <c r="BM994" s="66"/>
      <c r="BN994" s="66"/>
      <c r="BO994" s="66"/>
      <c r="BP994" s="66"/>
      <c r="BQ994" s="66"/>
      <c r="BR994" s="66"/>
      <c r="BS994" s="66"/>
      <c r="BT994" s="66"/>
      <c r="BU994" s="66"/>
      <c r="BV994" s="66"/>
      <c r="BW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66"/>
      <c r="AU995" s="66"/>
      <c r="AV995" s="66"/>
      <c r="AW995" s="66"/>
      <c r="AX995" s="66"/>
      <c r="AY995" s="66"/>
      <c r="AZ995" s="66"/>
      <c r="BA995" s="66"/>
      <c r="BB995" s="66"/>
      <c r="BC995" s="66"/>
      <c r="BD995" s="66"/>
      <c r="BE995" s="66"/>
      <c r="BF995" s="66"/>
      <c r="BG995" s="66"/>
      <c r="BH995" s="66"/>
      <c r="BI995" s="66"/>
      <c r="BJ995" s="66"/>
      <c r="BK995" s="66"/>
      <c r="BL995" s="66"/>
      <c r="BM995" s="66"/>
      <c r="BN995" s="66"/>
      <c r="BO995" s="66"/>
      <c r="BP995" s="66"/>
      <c r="BQ995" s="66"/>
      <c r="BR995" s="66"/>
      <c r="BS995" s="66"/>
      <c r="BT995" s="66"/>
      <c r="BU995" s="66"/>
      <c r="BV995" s="66"/>
      <c r="BW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66"/>
      <c r="AU996" s="66"/>
      <c r="AV996" s="66"/>
      <c r="AW996" s="66"/>
      <c r="AX996" s="66"/>
      <c r="AY996" s="66"/>
      <c r="AZ996" s="66"/>
      <c r="BA996" s="66"/>
      <c r="BB996" s="66"/>
      <c r="BC996" s="66"/>
      <c r="BD996" s="66"/>
      <c r="BE996" s="66"/>
      <c r="BF996" s="66"/>
      <c r="BG996" s="66"/>
      <c r="BH996" s="66"/>
      <c r="BI996" s="66"/>
      <c r="BJ996" s="66"/>
      <c r="BK996" s="66"/>
      <c r="BL996" s="66"/>
      <c r="BM996" s="66"/>
      <c r="BN996" s="66"/>
      <c r="BO996" s="66"/>
      <c r="BP996" s="66"/>
      <c r="BQ996" s="66"/>
      <c r="BR996" s="66"/>
      <c r="BS996" s="66"/>
      <c r="BT996" s="66"/>
      <c r="BU996" s="66"/>
      <c r="BV996" s="66"/>
      <c r="BW996" s="66"/>
    </row>
  </sheetData>
  <mergeCells count="620">
    <mergeCell ref="D1:N1"/>
    <mergeCell ref="B2:G3"/>
    <mergeCell ref="H2:Q3"/>
    <mergeCell ref="R2:AB3"/>
    <mergeCell ref="AC2:AM3"/>
    <mergeCell ref="AN2:AT6"/>
    <mergeCell ref="AU2:BH6"/>
    <mergeCell ref="AH8:AM10"/>
    <mergeCell ref="AN8:AS10"/>
    <mergeCell ref="AT8:AY10"/>
    <mergeCell ref="AZ8:BH10"/>
    <mergeCell ref="B4:G6"/>
    <mergeCell ref="H4:AM6"/>
    <mergeCell ref="B8:E10"/>
    <mergeCell ref="F8:I10"/>
    <mergeCell ref="J8:U8"/>
    <mergeCell ref="V8:AA10"/>
    <mergeCell ref="AB8:AG10"/>
    <mergeCell ref="AB11:AG11"/>
    <mergeCell ref="AH11:AM11"/>
    <mergeCell ref="AN11:AS11"/>
    <mergeCell ref="AT11:AY11"/>
    <mergeCell ref="AZ11:BH11"/>
    <mergeCell ref="J9:O10"/>
    <mergeCell ref="P9:U10"/>
    <mergeCell ref="B11:E11"/>
    <mergeCell ref="F11:I11"/>
    <mergeCell ref="J11:O11"/>
    <mergeCell ref="P11:U11"/>
    <mergeCell ref="V11:AA11"/>
    <mergeCell ref="AN12:AS12"/>
    <mergeCell ref="AT12:AY12"/>
    <mergeCell ref="AZ12:BH12"/>
    <mergeCell ref="B12:E12"/>
    <mergeCell ref="F12:I12"/>
    <mergeCell ref="J12:O12"/>
    <mergeCell ref="P12:U12"/>
    <mergeCell ref="V12:AA12"/>
    <mergeCell ref="AB12:AG12"/>
    <mergeCell ref="AH12:AM12"/>
    <mergeCell ref="AN16:AS16"/>
    <mergeCell ref="AT16:AY16"/>
    <mergeCell ref="AZ16:BH16"/>
    <mergeCell ref="B16:E16"/>
    <mergeCell ref="F16:I16"/>
    <mergeCell ref="J16:O16"/>
    <mergeCell ref="P16:U16"/>
    <mergeCell ref="V16:AA16"/>
    <mergeCell ref="AB16:AG16"/>
    <mergeCell ref="AH16:AM16"/>
    <mergeCell ref="AN17:AS17"/>
    <mergeCell ref="AT17:AY17"/>
    <mergeCell ref="AZ17:BH17"/>
    <mergeCell ref="B17:E17"/>
    <mergeCell ref="F17:I17"/>
    <mergeCell ref="J17:O17"/>
    <mergeCell ref="P17:U17"/>
    <mergeCell ref="V17:AA17"/>
    <mergeCell ref="AB17:AG17"/>
    <mergeCell ref="AH17:AM17"/>
    <mergeCell ref="AN18:AS18"/>
    <mergeCell ref="AT18:AY18"/>
    <mergeCell ref="AZ18:BH18"/>
    <mergeCell ref="B18:E18"/>
    <mergeCell ref="F18:I18"/>
    <mergeCell ref="J18:O18"/>
    <mergeCell ref="P18:U18"/>
    <mergeCell ref="V18:AA18"/>
    <mergeCell ref="AB18:AG18"/>
    <mergeCell ref="AH18:AM18"/>
    <mergeCell ref="AN19:AS19"/>
    <mergeCell ref="AT19:AY19"/>
    <mergeCell ref="AZ19:BH19"/>
    <mergeCell ref="B19:E19"/>
    <mergeCell ref="F19:I19"/>
    <mergeCell ref="J19:O19"/>
    <mergeCell ref="P19:U19"/>
    <mergeCell ref="V19:AA19"/>
    <mergeCell ref="AB19:AG19"/>
    <mergeCell ref="AH19:AM19"/>
    <mergeCell ref="AN20:AS20"/>
    <mergeCell ref="AT20:AY20"/>
    <mergeCell ref="AZ20:BH20"/>
    <mergeCell ref="B20:E20"/>
    <mergeCell ref="F20:I20"/>
    <mergeCell ref="J20:O20"/>
    <mergeCell ref="P20:U20"/>
    <mergeCell ref="V20:AA20"/>
    <mergeCell ref="AB20:AG20"/>
    <mergeCell ref="AH20:AM20"/>
    <mergeCell ref="AN21:AS21"/>
    <mergeCell ref="AT21:AY21"/>
    <mergeCell ref="AZ21:BH21"/>
    <mergeCell ref="B21:E21"/>
    <mergeCell ref="F21:I21"/>
    <mergeCell ref="J21:O21"/>
    <mergeCell ref="P21:U21"/>
    <mergeCell ref="V21:AA21"/>
    <mergeCell ref="AB21:AG21"/>
    <mergeCell ref="AH21:AM21"/>
    <mergeCell ref="AN22:AS22"/>
    <mergeCell ref="AT22:AY22"/>
    <mergeCell ref="AZ22:BH22"/>
    <mergeCell ref="B22:E22"/>
    <mergeCell ref="F22:I22"/>
    <mergeCell ref="J22:O22"/>
    <mergeCell ref="P22:U22"/>
    <mergeCell ref="V22:AA22"/>
    <mergeCell ref="AB22:AG22"/>
    <mergeCell ref="AH22:AM22"/>
    <mergeCell ref="AN23:AS23"/>
    <mergeCell ref="AT23:AY23"/>
    <mergeCell ref="AZ23:BH23"/>
    <mergeCell ref="B23:E23"/>
    <mergeCell ref="F23:I23"/>
    <mergeCell ref="J23:O23"/>
    <mergeCell ref="P23:U23"/>
    <mergeCell ref="V23:AA23"/>
    <mergeCell ref="AB23:AG23"/>
    <mergeCell ref="AH23:AM23"/>
    <mergeCell ref="AN24:AS24"/>
    <mergeCell ref="AT24:AY24"/>
    <mergeCell ref="AZ24:BH24"/>
    <mergeCell ref="B24:E24"/>
    <mergeCell ref="F24:I24"/>
    <mergeCell ref="J24:O24"/>
    <mergeCell ref="P24:U24"/>
    <mergeCell ref="V24:AA24"/>
    <mergeCell ref="AB24:AG24"/>
    <mergeCell ref="AH24:AM24"/>
    <mergeCell ref="AN25:AS25"/>
    <mergeCell ref="AT25:AY25"/>
    <mergeCell ref="AZ25:BH25"/>
    <mergeCell ref="B25:E25"/>
    <mergeCell ref="F25:I25"/>
    <mergeCell ref="J25:O25"/>
    <mergeCell ref="P25:U25"/>
    <mergeCell ref="V25:AA25"/>
    <mergeCell ref="AB25:AG25"/>
    <mergeCell ref="AH25:AM25"/>
    <mergeCell ref="AN26:AS26"/>
    <mergeCell ref="AT26:AY26"/>
    <mergeCell ref="AZ26:BH26"/>
    <mergeCell ref="B26:E26"/>
    <mergeCell ref="F26:I26"/>
    <mergeCell ref="J26:O26"/>
    <mergeCell ref="P26:U26"/>
    <mergeCell ref="V26:AA26"/>
    <mergeCell ref="AB26:AG26"/>
    <mergeCell ref="AH26:AM26"/>
    <mergeCell ref="AN27:AS27"/>
    <mergeCell ref="AT27:AY27"/>
    <mergeCell ref="AZ27:BH27"/>
    <mergeCell ref="B27:E27"/>
    <mergeCell ref="F27:I27"/>
    <mergeCell ref="J27:O27"/>
    <mergeCell ref="P27:U27"/>
    <mergeCell ref="V27:AA27"/>
    <mergeCell ref="AB27:AG27"/>
    <mergeCell ref="AH27:AM27"/>
    <mergeCell ref="AN28:AS28"/>
    <mergeCell ref="AT28:AY28"/>
    <mergeCell ref="AZ28:BH28"/>
    <mergeCell ref="B28:E28"/>
    <mergeCell ref="F28:I28"/>
    <mergeCell ref="J28:O28"/>
    <mergeCell ref="P28:U28"/>
    <mergeCell ref="V28:AA28"/>
    <mergeCell ref="AB28:AG28"/>
    <mergeCell ref="AH28:AM28"/>
    <mergeCell ref="AZ30:BB30"/>
    <mergeCell ref="BC30:BE30"/>
    <mergeCell ref="AB29:AG29"/>
    <mergeCell ref="AH29:AM29"/>
    <mergeCell ref="AN29:AS29"/>
    <mergeCell ref="AT29:AY29"/>
    <mergeCell ref="AZ29:BH29"/>
    <mergeCell ref="AW30:AY30"/>
    <mergeCell ref="BF30:BH30"/>
    <mergeCell ref="B29:AA29"/>
    <mergeCell ref="D32:N32"/>
    <mergeCell ref="H33:Q34"/>
    <mergeCell ref="R33:AB34"/>
    <mergeCell ref="AC33:AM34"/>
    <mergeCell ref="AN33:AT37"/>
    <mergeCell ref="AU33:BH37"/>
    <mergeCell ref="H35:AM37"/>
    <mergeCell ref="AT39:AY41"/>
    <mergeCell ref="AZ39:BH41"/>
    <mergeCell ref="J40:O41"/>
    <mergeCell ref="P40:U41"/>
    <mergeCell ref="B33:G34"/>
    <mergeCell ref="B35:G37"/>
    <mergeCell ref="B39:E41"/>
    <mergeCell ref="F39:I41"/>
    <mergeCell ref="J39:U39"/>
    <mergeCell ref="V39:AA41"/>
    <mergeCell ref="AB39:AG41"/>
    <mergeCell ref="AB42:AG42"/>
    <mergeCell ref="AH42:AM42"/>
    <mergeCell ref="AT42:AY42"/>
    <mergeCell ref="AZ42:BH42"/>
    <mergeCell ref="AH39:AM41"/>
    <mergeCell ref="AN39:AS41"/>
    <mergeCell ref="F42:I42"/>
    <mergeCell ref="J42:O42"/>
    <mergeCell ref="P42:U42"/>
    <mergeCell ref="V42:AA42"/>
    <mergeCell ref="AN42:AS42"/>
    <mergeCell ref="AN13:AS13"/>
    <mergeCell ref="AT13:AY13"/>
    <mergeCell ref="AZ13:BH13"/>
    <mergeCell ref="B13:E13"/>
    <mergeCell ref="F13:I13"/>
    <mergeCell ref="J13:O13"/>
    <mergeCell ref="P13:U13"/>
    <mergeCell ref="V13:AA13"/>
    <mergeCell ref="AB13:AG13"/>
    <mergeCell ref="AH13:AM13"/>
    <mergeCell ref="AN14:AS14"/>
    <mergeCell ref="AT14:AY14"/>
    <mergeCell ref="AZ14:BH14"/>
    <mergeCell ref="B14:E14"/>
    <mergeCell ref="F14:I14"/>
    <mergeCell ref="J14:O14"/>
    <mergeCell ref="P14:U14"/>
    <mergeCell ref="V14:AA14"/>
    <mergeCell ref="AB14:AG14"/>
    <mergeCell ref="AH14:AM14"/>
    <mergeCell ref="AN15:AS15"/>
    <mergeCell ref="AT15:AY15"/>
    <mergeCell ref="AZ15:BH15"/>
    <mergeCell ref="B15:E15"/>
    <mergeCell ref="F15:I15"/>
    <mergeCell ref="J15:O15"/>
    <mergeCell ref="P15:U15"/>
    <mergeCell ref="V15:AA15"/>
    <mergeCell ref="AB15:AG15"/>
    <mergeCell ref="AH15:AM15"/>
    <mergeCell ref="AH43:AM43"/>
    <mergeCell ref="AN43:AS43"/>
    <mergeCell ref="AT43:AY43"/>
    <mergeCell ref="AZ43:BH43"/>
    <mergeCell ref="B42:E42"/>
    <mergeCell ref="B43:E43"/>
    <mergeCell ref="F43:I43"/>
    <mergeCell ref="J43:O43"/>
    <mergeCell ref="P43:U43"/>
    <mergeCell ref="V43:AA43"/>
    <mergeCell ref="AB43:AG43"/>
    <mergeCell ref="AN44:AS44"/>
    <mergeCell ref="AT44:AY44"/>
    <mergeCell ref="AZ44:BH44"/>
    <mergeCell ref="B44:E44"/>
    <mergeCell ref="F44:I44"/>
    <mergeCell ref="J44:O44"/>
    <mergeCell ref="P44:U44"/>
    <mergeCell ref="V44:AA44"/>
    <mergeCell ref="AB44:AG44"/>
    <mergeCell ref="AH44:AM44"/>
    <mergeCell ref="AN45:AS45"/>
    <mergeCell ref="AT45:AY45"/>
    <mergeCell ref="AZ45:BH45"/>
    <mergeCell ref="B45:E45"/>
    <mergeCell ref="F45:I45"/>
    <mergeCell ref="J45:O45"/>
    <mergeCell ref="P45:U45"/>
    <mergeCell ref="V45:AA45"/>
    <mergeCell ref="AB45:AG45"/>
    <mergeCell ref="AH45:AM45"/>
    <mergeCell ref="AN46:AS46"/>
    <mergeCell ref="AT46:AY46"/>
    <mergeCell ref="AZ46:BH46"/>
    <mergeCell ref="B46:E46"/>
    <mergeCell ref="F46:I46"/>
    <mergeCell ref="J46:O46"/>
    <mergeCell ref="P46:U46"/>
    <mergeCell ref="V46:AA46"/>
    <mergeCell ref="AB46:AG46"/>
    <mergeCell ref="AH46:AM46"/>
    <mergeCell ref="AN50:AS50"/>
    <mergeCell ref="AT50:AY50"/>
    <mergeCell ref="AZ50:BH50"/>
    <mergeCell ref="B50:E50"/>
    <mergeCell ref="F50:I50"/>
    <mergeCell ref="J50:O50"/>
    <mergeCell ref="P50:U50"/>
    <mergeCell ref="V50:AA50"/>
    <mergeCell ref="AB50:AG50"/>
    <mergeCell ref="AH50:AM50"/>
    <mergeCell ref="AN51:AS51"/>
    <mergeCell ref="AT51:AY51"/>
    <mergeCell ref="AZ51:BH51"/>
    <mergeCell ref="B51:E51"/>
    <mergeCell ref="F51:I51"/>
    <mergeCell ref="J51:O51"/>
    <mergeCell ref="P51:U51"/>
    <mergeCell ref="V51:AA51"/>
    <mergeCell ref="AB51:AG51"/>
    <mergeCell ref="AH51:AM51"/>
    <mergeCell ref="AN52:AS52"/>
    <mergeCell ref="AT52:AY52"/>
    <mergeCell ref="AZ52:BH52"/>
    <mergeCell ref="B52:E52"/>
    <mergeCell ref="F52:I52"/>
    <mergeCell ref="J52:O52"/>
    <mergeCell ref="P52:U52"/>
    <mergeCell ref="V52:AA52"/>
    <mergeCell ref="AB52:AG52"/>
    <mergeCell ref="AH52:AM52"/>
    <mergeCell ref="AN53:AS53"/>
    <mergeCell ref="AT53:AY53"/>
    <mergeCell ref="AZ53:BH53"/>
    <mergeCell ref="B53:E53"/>
    <mergeCell ref="F53:I53"/>
    <mergeCell ref="J53:O53"/>
    <mergeCell ref="P53:U53"/>
    <mergeCell ref="V53:AA53"/>
    <mergeCell ref="AB53:AG53"/>
    <mergeCell ref="AH53:AM53"/>
    <mergeCell ref="AN54:AS54"/>
    <mergeCell ref="AT54:AY54"/>
    <mergeCell ref="AZ54:BH54"/>
    <mergeCell ref="B54:E54"/>
    <mergeCell ref="F54:I54"/>
    <mergeCell ref="J54:O54"/>
    <mergeCell ref="P54:U54"/>
    <mergeCell ref="V54:AA54"/>
    <mergeCell ref="AB54:AG54"/>
    <mergeCell ref="AH54:AM54"/>
    <mergeCell ref="AN55:AS55"/>
    <mergeCell ref="AT55:AY55"/>
    <mergeCell ref="AZ55:BH55"/>
    <mergeCell ref="B55:E55"/>
    <mergeCell ref="F55:I55"/>
    <mergeCell ref="J55:O55"/>
    <mergeCell ref="P55:U55"/>
    <mergeCell ref="V55:AA55"/>
    <mergeCell ref="AB55:AG55"/>
    <mergeCell ref="AH55:AM55"/>
    <mergeCell ref="AN56:AS56"/>
    <mergeCell ref="AT56:AY56"/>
    <mergeCell ref="AZ56:BH56"/>
    <mergeCell ref="B56:E56"/>
    <mergeCell ref="F56:I56"/>
    <mergeCell ref="J56:O56"/>
    <mergeCell ref="P56:U56"/>
    <mergeCell ref="V56:AA56"/>
    <mergeCell ref="AB56:AG56"/>
    <mergeCell ref="AH56:AM56"/>
    <mergeCell ref="AN57:AS57"/>
    <mergeCell ref="AT57:AY57"/>
    <mergeCell ref="AZ57:BH57"/>
    <mergeCell ref="B57:E57"/>
    <mergeCell ref="F57:I57"/>
    <mergeCell ref="J57:O57"/>
    <mergeCell ref="P57:U57"/>
    <mergeCell ref="V57:AA57"/>
    <mergeCell ref="AB57:AG57"/>
    <mergeCell ref="AH57:AM57"/>
    <mergeCell ref="AN58:AS58"/>
    <mergeCell ref="AT58:AY58"/>
    <mergeCell ref="AZ58:BH58"/>
    <mergeCell ref="B58:E58"/>
    <mergeCell ref="F58:I58"/>
    <mergeCell ref="J58:O58"/>
    <mergeCell ref="P58:U58"/>
    <mergeCell ref="V58:AA58"/>
    <mergeCell ref="AB58:AG58"/>
    <mergeCell ref="AH58:AM58"/>
    <mergeCell ref="AZ61:BB61"/>
    <mergeCell ref="BC61:BE61"/>
    <mergeCell ref="AB59:AG59"/>
    <mergeCell ref="AH59:AM59"/>
    <mergeCell ref="AN59:AS59"/>
    <mergeCell ref="AT59:AY59"/>
    <mergeCell ref="AZ59:BH59"/>
    <mergeCell ref="AW61:AY61"/>
    <mergeCell ref="BF61:BH61"/>
    <mergeCell ref="B59:AA59"/>
    <mergeCell ref="D62:N62"/>
    <mergeCell ref="H63:Q64"/>
    <mergeCell ref="R63:AB64"/>
    <mergeCell ref="AC63:AM64"/>
    <mergeCell ref="AN63:AT67"/>
    <mergeCell ref="AU63:BH67"/>
    <mergeCell ref="H65:AM67"/>
    <mergeCell ref="AT69:AY71"/>
    <mergeCell ref="AZ69:BH71"/>
    <mergeCell ref="J70:O71"/>
    <mergeCell ref="P70:U71"/>
    <mergeCell ref="B63:G64"/>
    <mergeCell ref="B65:G67"/>
    <mergeCell ref="B69:E71"/>
    <mergeCell ref="F69:I71"/>
    <mergeCell ref="J69:U69"/>
    <mergeCell ref="V69:AA71"/>
    <mergeCell ref="AB69:AG71"/>
    <mergeCell ref="AB72:AG72"/>
    <mergeCell ref="AH72:AM72"/>
    <mergeCell ref="AT72:AY72"/>
    <mergeCell ref="AZ72:BH72"/>
    <mergeCell ref="AH69:AM71"/>
    <mergeCell ref="AN69:AS71"/>
    <mergeCell ref="F72:I72"/>
    <mergeCell ref="J72:O72"/>
    <mergeCell ref="P72:U72"/>
    <mergeCell ref="V72:AA72"/>
    <mergeCell ref="AN72:AS72"/>
    <mergeCell ref="AN47:AS47"/>
    <mergeCell ref="AT47:AY47"/>
    <mergeCell ref="AZ47:BH47"/>
    <mergeCell ref="B47:E47"/>
    <mergeCell ref="F47:I47"/>
    <mergeCell ref="J47:O47"/>
    <mergeCell ref="P47:U47"/>
    <mergeCell ref="V47:AA47"/>
    <mergeCell ref="AB47:AG47"/>
    <mergeCell ref="AH47:AM47"/>
    <mergeCell ref="AN48:AS48"/>
    <mergeCell ref="AT48:AY48"/>
    <mergeCell ref="AZ48:BH48"/>
    <mergeCell ref="B48:E48"/>
    <mergeCell ref="F48:I48"/>
    <mergeCell ref="J48:O48"/>
    <mergeCell ref="P48:U48"/>
    <mergeCell ref="V48:AA48"/>
    <mergeCell ref="AB48:AG48"/>
    <mergeCell ref="AH48:AM48"/>
    <mergeCell ref="AN49:AS49"/>
    <mergeCell ref="AT49:AY49"/>
    <mergeCell ref="AZ49:BH49"/>
    <mergeCell ref="B49:E49"/>
    <mergeCell ref="F49:I49"/>
    <mergeCell ref="J49:O49"/>
    <mergeCell ref="P49:U49"/>
    <mergeCell ref="V49:AA49"/>
    <mergeCell ref="AB49:AG49"/>
    <mergeCell ref="AH49:AM49"/>
    <mergeCell ref="AH73:AM73"/>
    <mergeCell ref="AN73:AS73"/>
    <mergeCell ref="AT73:AY73"/>
    <mergeCell ref="AZ73:BH73"/>
    <mergeCell ref="B72:E72"/>
    <mergeCell ref="B73:E73"/>
    <mergeCell ref="F73:I73"/>
    <mergeCell ref="J73:O73"/>
    <mergeCell ref="P73:U73"/>
    <mergeCell ref="V73:AA73"/>
    <mergeCell ref="AB73:AG73"/>
    <mergeCell ref="AN74:AS74"/>
    <mergeCell ref="AT74:AY74"/>
    <mergeCell ref="AZ74:BH74"/>
    <mergeCell ref="B74:E74"/>
    <mergeCell ref="F74:I74"/>
    <mergeCell ref="J74:O74"/>
    <mergeCell ref="P74:U74"/>
    <mergeCell ref="V74:AA74"/>
    <mergeCell ref="AB74:AG74"/>
    <mergeCell ref="AH74:AM74"/>
    <mergeCell ref="AN75:AS75"/>
    <mergeCell ref="AT75:AY75"/>
    <mergeCell ref="AZ75:BH75"/>
    <mergeCell ref="B75:E75"/>
    <mergeCell ref="F75:I75"/>
    <mergeCell ref="J75:O75"/>
    <mergeCell ref="P75:U75"/>
    <mergeCell ref="V75:AA75"/>
    <mergeCell ref="AB75:AG75"/>
    <mergeCell ref="AH75:AM75"/>
    <mergeCell ref="AN76:AS76"/>
    <mergeCell ref="AT76:AY76"/>
    <mergeCell ref="AZ76:BH76"/>
    <mergeCell ref="B76:E76"/>
    <mergeCell ref="F76:I76"/>
    <mergeCell ref="J76:O76"/>
    <mergeCell ref="P76:U76"/>
    <mergeCell ref="V76:AA76"/>
    <mergeCell ref="AB76:AG76"/>
    <mergeCell ref="AH76:AM76"/>
    <mergeCell ref="AN80:AS80"/>
    <mergeCell ref="AT80:AY80"/>
    <mergeCell ref="AZ80:BH80"/>
    <mergeCell ref="B80:E80"/>
    <mergeCell ref="F80:I80"/>
    <mergeCell ref="J80:O80"/>
    <mergeCell ref="P80:U80"/>
    <mergeCell ref="V80:AA80"/>
    <mergeCell ref="AB80:AG80"/>
    <mergeCell ref="AH80:AM80"/>
    <mergeCell ref="AN81:AS81"/>
    <mergeCell ref="AT81:AY81"/>
    <mergeCell ref="AZ81:BH81"/>
    <mergeCell ref="B81:E81"/>
    <mergeCell ref="F81:I81"/>
    <mergeCell ref="J81:O81"/>
    <mergeCell ref="P81:U81"/>
    <mergeCell ref="V81:AA81"/>
    <mergeCell ref="AB81:AG81"/>
    <mergeCell ref="AH81:AM81"/>
    <mergeCell ref="AN89:AS89"/>
    <mergeCell ref="AT89:AY89"/>
    <mergeCell ref="AZ89:BH89"/>
    <mergeCell ref="B89:E89"/>
    <mergeCell ref="F89:I89"/>
    <mergeCell ref="J89:O89"/>
    <mergeCell ref="P89:U89"/>
    <mergeCell ref="V89:AA89"/>
    <mergeCell ref="AB89:AG89"/>
    <mergeCell ref="AH89:AM89"/>
    <mergeCell ref="AN77:AS77"/>
    <mergeCell ref="AT77:AY77"/>
    <mergeCell ref="AZ77:BH77"/>
    <mergeCell ref="B77:E77"/>
    <mergeCell ref="F77:I77"/>
    <mergeCell ref="J77:O77"/>
    <mergeCell ref="P77:U77"/>
    <mergeCell ref="V77:AA77"/>
    <mergeCell ref="AB77:AG77"/>
    <mergeCell ref="AH77:AM77"/>
    <mergeCell ref="AN78:AS78"/>
    <mergeCell ref="AT78:AY78"/>
    <mergeCell ref="AZ78:BH78"/>
    <mergeCell ref="B78:E78"/>
    <mergeCell ref="F78:I78"/>
    <mergeCell ref="J78:O78"/>
    <mergeCell ref="P78:U78"/>
    <mergeCell ref="V78:AA78"/>
    <mergeCell ref="AB78:AG78"/>
    <mergeCell ref="AH78:AM78"/>
    <mergeCell ref="AN79:AS79"/>
    <mergeCell ref="AT79:AY79"/>
    <mergeCell ref="AZ79:BH79"/>
    <mergeCell ref="B79:E79"/>
    <mergeCell ref="F79:I79"/>
    <mergeCell ref="J79:O79"/>
    <mergeCell ref="P79:U79"/>
    <mergeCell ref="V79:AA79"/>
    <mergeCell ref="AB79:AG79"/>
    <mergeCell ref="AH79:AM79"/>
    <mergeCell ref="AZ92:BB92"/>
    <mergeCell ref="BC92:BE92"/>
    <mergeCell ref="B90:AA90"/>
    <mergeCell ref="AB90:AG90"/>
    <mergeCell ref="AH90:AM90"/>
    <mergeCell ref="AN90:AS90"/>
    <mergeCell ref="AT90:AY90"/>
    <mergeCell ref="AZ90:BH90"/>
    <mergeCell ref="AW92:AY92"/>
    <mergeCell ref="BF92:BH92"/>
    <mergeCell ref="AN82:AS82"/>
    <mergeCell ref="AT82:AY82"/>
    <mergeCell ref="AZ82:BH82"/>
    <mergeCell ref="B82:E82"/>
    <mergeCell ref="F82:I82"/>
    <mergeCell ref="J82:O82"/>
    <mergeCell ref="P82:U82"/>
    <mergeCell ref="V82:AA82"/>
    <mergeCell ref="AB82:AG82"/>
    <mergeCell ref="AH82:AM82"/>
    <mergeCell ref="AN83:AS83"/>
    <mergeCell ref="AT83:AY83"/>
    <mergeCell ref="AZ83:BH83"/>
    <mergeCell ref="B83:E83"/>
    <mergeCell ref="F83:I83"/>
    <mergeCell ref="J83:O83"/>
    <mergeCell ref="P83:U83"/>
    <mergeCell ref="V83:AA83"/>
    <mergeCell ref="AB83:AG83"/>
    <mergeCell ref="AH83:AM83"/>
    <mergeCell ref="AN84:AS84"/>
    <mergeCell ref="AT84:AY84"/>
    <mergeCell ref="AZ84:BH84"/>
    <mergeCell ref="B84:E84"/>
    <mergeCell ref="F84:I84"/>
    <mergeCell ref="J84:O84"/>
    <mergeCell ref="P84:U84"/>
    <mergeCell ref="V84:AA84"/>
    <mergeCell ref="AB84:AG84"/>
    <mergeCell ref="AH84:AM84"/>
    <mergeCell ref="AN85:AS85"/>
    <mergeCell ref="AT85:AY85"/>
    <mergeCell ref="AZ85:BH85"/>
    <mergeCell ref="B85:E85"/>
    <mergeCell ref="F85:I85"/>
    <mergeCell ref="J85:O85"/>
    <mergeCell ref="P85:U85"/>
    <mergeCell ref="V85:AA85"/>
    <mergeCell ref="AB85:AG85"/>
    <mergeCell ref="AH85:AM85"/>
    <mergeCell ref="AN86:AS86"/>
    <mergeCell ref="AT86:AY86"/>
    <mergeCell ref="AZ86:BH86"/>
    <mergeCell ref="B86:E86"/>
    <mergeCell ref="F86:I86"/>
    <mergeCell ref="J86:O86"/>
    <mergeCell ref="P86:U86"/>
    <mergeCell ref="V86:AA86"/>
    <mergeCell ref="AB86:AG86"/>
    <mergeCell ref="AH86:AM86"/>
    <mergeCell ref="AN87:AS87"/>
    <mergeCell ref="AT87:AY87"/>
    <mergeCell ref="AZ87:BH87"/>
    <mergeCell ref="B87:E87"/>
    <mergeCell ref="F87:I87"/>
    <mergeCell ref="J87:O87"/>
    <mergeCell ref="P87:U87"/>
    <mergeCell ref="V87:AA87"/>
    <mergeCell ref="AB87:AG87"/>
    <mergeCell ref="AH87:AM87"/>
    <mergeCell ref="AN88:AS88"/>
    <mergeCell ref="AT88:AY88"/>
    <mergeCell ref="AZ88:BH88"/>
    <mergeCell ref="B88:E88"/>
    <mergeCell ref="F88:I88"/>
    <mergeCell ref="J88:O88"/>
    <mergeCell ref="P88:U88"/>
    <mergeCell ref="V88:AA88"/>
    <mergeCell ref="AB88:AG88"/>
    <mergeCell ref="AH88:AM88"/>
  </mergeCells>
  <printOptions horizontalCentered="1" verticalCentered="1"/>
  <pageMargins bottom="0.2" footer="0.0" header="0.0" left="0.39000000000000007" right="0.39000000000000007" top="0.2"/>
  <pageSetup paperSize="9" orientation="portrait"/>
  <headerFooter>
    <oddHeader>&amp;L【浦安市】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FB98"/>
    <pageSetUpPr/>
  </sheetPr>
  <sheetViews>
    <sheetView showGridLines="0" workbookViewId="0"/>
  </sheetViews>
  <sheetFormatPr customHeight="1" defaultColWidth="14.43" defaultRowHeight="15.0"/>
  <cols>
    <col customWidth="1" min="1" max="6" width="1.57"/>
    <col customWidth="1" min="7" max="7" width="2.43"/>
    <col customWidth="1" min="8" max="17" width="1.57"/>
    <col customWidth="1" min="18" max="18" width="1.71"/>
    <col customWidth="1" min="19" max="27" width="1.57"/>
    <col customWidth="1" min="28" max="28" width="1.29"/>
    <col customWidth="1" min="29" max="33" width="1.57"/>
    <col customWidth="1" min="34" max="34" width="1.43"/>
    <col customWidth="1" min="35" max="75" width="1.57"/>
  </cols>
  <sheetData>
    <row r="1" ht="42.75" customHeight="1">
      <c r="A1" s="65"/>
      <c r="B1" s="66"/>
      <c r="C1" s="66"/>
      <c r="D1" s="136" t="s">
        <v>71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6"/>
      <c r="P1" s="66"/>
      <c r="Q1" s="66"/>
      <c r="R1" s="66"/>
      <c r="S1" s="69" t="s">
        <v>75</v>
      </c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</row>
    <row r="2" ht="23.25" customHeight="1">
      <c r="A2" s="66"/>
      <c r="B2" s="70" t="s">
        <v>76</v>
      </c>
      <c r="C2" s="71"/>
      <c r="D2" s="71"/>
      <c r="E2" s="71"/>
      <c r="F2" s="71"/>
      <c r="G2" s="72"/>
      <c r="H2" s="137">
        <v>3980.0</v>
      </c>
      <c r="I2" s="71"/>
      <c r="J2" s="71"/>
      <c r="K2" s="71"/>
      <c r="L2" s="71"/>
      <c r="M2" s="71"/>
      <c r="N2" s="71"/>
      <c r="O2" s="71"/>
      <c r="P2" s="71"/>
      <c r="Q2" s="72"/>
      <c r="R2" s="74" t="s">
        <v>77</v>
      </c>
      <c r="S2" s="71"/>
      <c r="T2" s="71"/>
      <c r="U2" s="71"/>
      <c r="V2" s="71"/>
      <c r="W2" s="71"/>
      <c r="X2" s="71"/>
      <c r="Y2" s="71"/>
      <c r="Z2" s="71"/>
      <c r="AA2" s="71"/>
      <c r="AB2" s="72"/>
      <c r="AC2" s="75" t="s">
        <v>97</v>
      </c>
      <c r="AD2" s="71"/>
      <c r="AE2" s="71"/>
      <c r="AF2" s="71"/>
      <c r="AG2" s="71"/>
      <c r="AH2" s="71"/>
      <c r="AI2" s="71"/>
      <c r="AJ2" s="71"/>
      <c r="AK2" s="71"/>
      <c r="AL2" s="71"/>
      <c r="AM2" s="72"/>
      <c r="AN2" s="76" t="s">
        <v>78</v>
      </c>
      <c r="AO2" s="71"/>
      <c r="AP2" s="71"/>
      <c r="AQ2" s="71"/>
      <c r="AR2" s="71"/>
      <c r="AS2" s="71"/>
      <c r="AT2" s="72"/>
      <c r="AU2" s="77" t="s">
        <v>79</v>
      </c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8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</row>
    <row r="3" ht="8.25" customHeight="1">
      <c r="A3" s="66"/>
      <c r="B3" s="80"/>
      <c r="C3" s="17"/>
      <c r="D3" s="17"/>
      <c r="E3" s="17"/>
      <c r="F3" s="17"/>
      <c r="G3" s="26"/>
      <c r="H3" s="25"/>
      <c r="I3" s="17"/>
      <c r="J3" s="17"/>
      <c r="K3" s="17"/>
      <c r="L3" s="17"/>
      <c r="M3" s="17"/>
      <c r="N3" s="17"/>
      <c r="O3" s="17"/>
      <c r="P3" s="17"/>
      <c r="Q3" s="26"/>
      <c r="R3" s="25"/>
      <c r="S3" s="17"/>
      <c r="T3" s="17"/>
      <c r="U3" s="17"/>
      <c r="V3" s="17"/>
      <c r="W3" s="17"/>
      <c r="X3" s="17"/>
      <c r="Y3" s="17"/>
      <c r="Z3" s="17"/>
      <c r="AA3" s="17"/>
      <c r="AB3" s="26"/>
      <c r="AC3" s="25"/>
      <c r="AD3" s="17"/>
      <c r="AE3" s="17"/>
      <c r="AF3" s="17"/>
      <c r="AG3" s="17"/>
      <c r="AH3" s="17"/>
      <c r="AI3" s="17"/>
      <c r="AJ3" s="17"/>
      <c r="AK3" s="17"/>
      <c r="AL3" s="17"/>
      <c r="AM3" s="26"/>
      <c r="AN3" s="81"/>
      <c r="AT3" s="49"/>
      <c r="AU3" s="81"/>
      <c r="BH3" s="82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</row>
    <row r="4" ht="15.0" customHeight="1">
      <c r="A4" s="66"/>
      <c r="B4" s="83" t="s">
        <v>80</v>
      </c>
      <c r="C4" s="22"/>
      <c r="D4" s="22"/>
      <c r="E4" s="22"/>
      <c r="F4" s="22"/>
      <c r="G4" s="84"/>
      <c r="H4" s="138" t="s">
        <v>33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84"/>
      <c r="AN4" s="81"/>
      <c r="AT4" s="49"/>
      <c r="AU4" s="81"/>
      <c r="BH4" s="82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</row>
    <row r="5" ht="12.0" customHeight="1">
      <c r="A5" s="66"/>
      <c r="B5" s="86"/>
      <c r="G5" s="49"/>
      <c r="H5" s="81"/>
      <c r="AM5" s="49"/>
      <c r="AN5" s="81"/>
      <c r="AT5" s="49"/>
      <c r="AU5" s="81"/>
      <c r="BH5" s="82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</row>
    <row r="6" ht="4.5" customHeight="1">
      <c r="A6" s="66"/>
      <c r="B6" s="87"/>
      <c r="C6" s="68"/>
      <c r="D6" s="68"/>
      <c r="E6" s="68"/>
      <c r="F6" s="68"/>
      <c r="G6" s="88"/>
      <c r="H6" s="89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88"/>
      <c r="AN6" s="89"/>
      <c r="AO6" s="68"/>
      <c r="AP6" s="68"/>
      <c r="AQ6" s="68"/>
      <c r="AR6" s="68"/>
      <c r="AS6" s="68"/>
      <c r="AT6" s="88"/>
      <c r="AU6" s="89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90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</row>
    <row r="7" ht="6.7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</row>
    <row r="8" ht="15.0" customHeight="1">
      <c r="A8" s="66"/>
      <c r="B8" s="91" t="s">
        <v>81</v>
      </c>
      <c r="C8" s="71"/>
      <c r="D8" s="71"/>
      <c r="E8" s="72"/>
      <c r="F8" s="92" t="s">
        <v>82</v>
      </c>
      <c r="G8" s="71"/>
      <c r="H8" s="71"/>
      <c r="I8" s="72"/>
      <c r="J8" s="93" t="s">
        <v>83</v>
      </c>
      <c r="K8" s="94"/>
      <c r="L8" s="94"/>
      <c r="M8" s="94"/>
      <c r="N8" s="94"/>
      <c r="O8" s="94"/>
      <c r="P8" s="94"/>
      <c r="Q8" s="94"/>
      <c r="R8" s="94"/>
      <c r="S8" s="94"/>
      <c r="T8" s="94"/>
      <c r="U8" s="95"/>
      <c r="V8" s="96" t="s">
        <v>84</v>
      </c>
      <c r="W8" s="71"/>
      <c r="X8" s="71"/>
      <c r="Y8" s="71"/>
      <c r="Z8" s="71"/>
      <c r="AA8" s="72"/>
      <c r="AB8" s="97" t="s">
        <v>85</v>
      </c>
      <c r="AC8" s="71"/>
      <c r="AD8" s="71"/>
      <c r="AE8" s="71"/>
      <c r="AF8" s="71"/>
      <c r="AG8" s="72"/>
      <c r="AH8" s="98" t="s">
        <v>46</v>
      </c>
      <c r="AI8" s="71"/>
      <c r="AJ8" s="71"/>
      <c r="AK8" s="71"/>
      <c r="AL8" s="71"/>
      <c r="AM8" s="72"/>
      <c r="AN8" s="96" t="s">
        <v>86</v>
      </c>
      <c r="AO8" s="71"/>
      <c r="AP8" s="71"/>
      <c r="AQ8" s="71"/>
      <c r="AR8" s="71"/>
      <c r="AS8" s="72"/>
      <c r="AT8" s="96" t="s">
        <v>87</v>
      </c>
      <c r="AU8" s="71"/>
      <c r="AV8" s="71"/>
      <c r="AW8" s="71"/>
      <c r="AX8" s="71"/>
      <c r="AY8" s="72"/>
      <c r="AZ8" s="99"/>
      <c r="BA8" s="71"/>
      <c r="BB8" s="71"/>
      <c r="BC8" s="71"/>
      <c r="BD8" s="71"/>
      <c r="BE8" s="71"/>
      <c r="BF8" s="71"/>
      <c r="BG8" s="71"/>
      <c r="BH8" s="78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</row>
    <row r="9" ht="15.0" customHeight="1">
      <c r="A9" s="66"/>
      <c r="B9" s="86"/>
      <c r="E9" s="49"/>
      <c r="F9" s="81"/>
      <c r="I9" s="49"/>
      <c r="J9" s="100" t="s">
        <v>88</v>
      </c>
      <c r="K9" s="22"/>
      <c r="L9" s="22"/>
      <c r="M9" s="22"/>
      <c r="N9" s="22"/>
      <c r="O9" s="84"/>
      <c r="P9" s="100" t="s">
        <v>89</v>
      </c>
      <c r="Q9" s="22"/>
      <c r="R9" s="22"/>
      <c r="S9" s="22"/>
      <c r="T9" s="22"/>
      <c r="U9" s="84"/>
      <c r="V9" s="81"/>
      <c r="AA9" s="49"/>
      <c r="AB9" s="81"/>
      <c r="AG9" s="49"/>
      <c r="AH9" s="81"/>
      <c r="AM9" s="49"/>
      <c r="AN9" s="81"/>
      <c r="AS9" s="49"/>
      <c r="AT9" s="81"/>
      <c r="AY9" s="49"/>
      <c r="AZ9" s="81"/>
      <c r="BH9" s="82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</row>
    <row r="10" ht="15.0" customHeight="1">
      <c r="A10" s="66"/>
      <c r="B10" s="80"/>
      <c r="C10" s="17"/>
      <c r="D10" s="17"/>
      <c r="E10" s="26"/>
      <c r="F10" s="25"/>
      <c r="G10" s="17"/>
      <c r="H10" s="17"/>
      <c r="I10" s="26"/>
      <c r="J10" s="25"/>
      <c r="K10" s="17"/>
      <c r="L10" s="17"/>
      <c r="M10" s="17"/>
      <c r="N10" s="17"/>
      <c r="O10" s="26"/>
      <c r="P10" s="25"/>
      <c r="Q10" s="17"/>
      <c r="R10" s="17"/>
      <c r="S10" s="17"/>
      <c r="T10" s="17"/>
      <c r="U10" s="26"/>
      <c r="V10" s="25"/>
      <c r="W10" s="17"/>
      <c r="X10" s="17"/>
      <c r="Y10" s="17"/>
      <c r="Z10" s="17"/>
      <c r="AA10" s="26"/>
      <c r="AB10" s="25"/>
      <c r="AC10" s="17"/>
      <c r="AD10" s="17"/>
      <c r="AE10" s="17"/>
      <c r="AF10" s="17"/>
      <c r="AG10" s="26"/>
      <c r="AH10" s="25"/>
      <c r="AI10" s="17"/>
      <c r="AJ10" s="17"/>
      <c r="AK10" s="17"/>
      <c r="AL10" s="17"/>
      <c r="AM10" s="26"/>
      <c r="AN10" s="25"/>
      <c r="AO10" s="17"/>
      <c r="AP10" s="17"/>
      <c r="AQ10" s="17"/>
      <c r="AR10" s="17"/>
      <c r="AS10" s="26"/>
      <c r="AT10" s="25"/>
      <c r="AU10" s="17"/>
      <c r="AV10" s="17"/>
      <c r="AW10" s="17"/>
      <c r="AX10" s="17"/>
      <c r="AY10" s="26"/>
      <c r="AZ10" s="25"/>
      <c r="BA10" s="17"/>
      <c r="BB10" s="17"/>
      <c r="BC10" s="17"/>
      <c r="BD10" s="17"/>
      <c r="BE10" s="17"/>
      <c r="BF10" s="17"/>
      <c r="BG10" s="17"/>
      <c r="BH10" s="101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</row>
    <row r="11" ht="30.0" customHeight="1">
      <c r="A11" s="66"/>
      <c r="B11" s="102">
        <v>1.0</v>
      </c>
      <c r="C11" s="20"/>
      <c r="D11" s="20"/>
      <c r="E11" s="20"/>
      <c r="F11" s="103"/>
      <c r="G11" s="20"/>
      <c r="H11" s="20"/>
      <c r="I11" s="104"/>
      <c r="J11" s="105"/>
      <c r="K11" s="20"/>
      <c r="L11" s="20"/>
      <c r="M11" s="20"/>
      <c r="N11" s="20"/>
      <c r="O11" s="104"/>
      <c r="P11" s="105"/>
      <c r="Q11" s="20"/>
      <c r="R11" s="20"/>
      <c r="S11" s="20"/>
      <c r="T11" s="20"/>
      <c r="U11" s="104"/>
      <c r="V11" s="103">
        <v>8.0</v>
      </c>
      <c r="W11" s="20"/>
      <c r="X11" s="20"/>
      <c r="Y11" s="20"/>
      <c r="Z11" s="20"/>
      <c r="AA11" s="104"/>
      <c r="AB11" s="106">
        <f t="shared" ref="AB11:AB28" si="1">IF(V11="", "", V11 * 2020)</f>
        <v>16160</v>
      </c>
      <c r="AC11" s="20"/>
      <c r="AD11" s="20"/>
      <c r="AE11" s="20"/>
      <c r="AF11" s="20"/>
      <c r="AG11" s="104"/>
      <c r="AH11" s="106">
        <f t="shared" ref="AH11:AH28" si="2">IF(AB11="", "", AB11 - AN11)</f>
        <v>14544</v>
      </c>
      <c r="AI11" s="20"/>
      <c r="AJ11" s="20"/>
      <c r="AK11" s="20"/>
      <c r="AL11" s="20"/>
      <c r="AM11" s="104"/>
      <c r="AN11" s="106">
        <f t="shared" ref="AN11:AN28" si="3">IF(AB11="", "", ROUNDDOWN(AB11 * 0.1,0))</f>
        <v>1616</v>
      </c>
      <c r="AO11" s="20"/>
      <c r="AP11" s="20"/>
      <c r="AQ11" s="20"/>
      <c r="AR11" s="20"/>
      <c r="AS11" s="104"/>
      <c r="AT11" s="107"/>
      <c r="AU11" s="20"/>
      <c r="AV11" s="20"/>
      <c r="AW11" s="20"/>
      <c r="AX11" s="20"/>
      <c r="AY11" s="104"/>
      <c r="AZ11" s="107"/>
      <c r="BA11" s="20"/>
      <c r="BB11" s="20"/>
      <c r="BC11" s="20"/>
      <c r="BD11" s="20"/>
      <c r="BE11" s="20"/>
      <c r="BF11" s="20"/>
      <c r="BG11" s="20"/>
      <c r="BH11" s="10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</row>
    <row r="12" ht="30.0" customHeight="1">
      <c r="A12" s="66"/>
      <c r="B12" s="109" t="s">
        <v>98</v>
      </c>
      <c r="C12" s="20"/>
      <c r="D12" s="20"/>
      <c r="E12" s="20"/>
      <c r="F12" s="103"/>
      <c r="G12" s="20"/>
      <c r="H12" s="20"/>
      <c r="I12" s="104"/>
      <c r="J12" s="110"/>
      <c r="K12" s="20"/>
      <c r="L12" s="20"/>
      <c r="M12" s="20"/>
      <c r="N12" s="20"/>
      <c r="O12" s="104"/>
      <c r="P12" s="110"/>
      <c r="Q12" s="20"/>
      <c r="R12" s="20"/>
      <c r="S12" s="20"/>
      <c r="T12" s="20"/>
      <c r="U12" s="104"/>
      <c r="V12" s="111">
        <v>0.0</v>
      </c>
      <c r="W12" s="20"/>
      <c r="X12" s="20"/>
      <c r="Y12" s="20"/>
      <c r="Z12" s="20"/>
      <c r="AA12" s="104"/>
      <c r="AB12" s="106">
        <f t="shared" si="1"/>
        <v>0</v>
      </c>
      <c r="AC12" s="20"/>
      <c r="AD12" s="20"/>
      <c r="AE12" s="20"/>
      <c r="AF12" s="20"/>
      <c r="AG12" s="104"/>
      <c r="AH12" s="106">
        <f t="shared" si="2"/>
        <v>0</v>
      </c>
      <c r="AI12" s="20"/>
      <c r="AJ12" s="20"/>
      <c r="AK12" s="20"/>
      <c r="AL12" s="20"/>
      <c r="AM12" s="104"/>
      <c r="AN12" s="106">
        <f t="shared" si="3"/>
        <v>0</v>
      </c>
      <c r="AO12" s="20"/>
      <c r="AP12" s="20"/>
      <c r="AQ12" s="20"/>
      <c r="AR12" s="20"/>
      <c r="AS12" s="104"/>
      <c r="AT12" s="107"/>
      <c r="AU12" s="20"/>
      <c r="AV12" s="20"/>
      <c r="AW12" s="20"/>
      <c r="AX12" s="20"/>
      <c r="AY12" s="104"/>
      <c r="AZ12" s="103" t="s">
        <v>48</v>
      </c>
      <c r="BA12" s="20"/>
      <c r="BB12" s="20"/>
      <c r="BC12" s="20"/>
      <c r="BD12" s="20"/>
      <c r="BE12" s="20"/>
      <c r="BF12" s="20"/>
      <c r="BG12" s="20"/>
      <c r="BH12" s="10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</row>
    <row r="13" ht="30.0" customHeight="1">
      <c r="A13" s="66"/>
      <c r="B13" s="102">
        <v>5.0</v>
      </c>
      <c r="C13" s="20"/>
      <c r="D13" s="20"/>
      <c r="E13" s="20"/>
      <c r="F13" s="103"/>
      <c r="G13" s="20"/>
      <c r="H13" s="20"/>
      <c r="I13" s="104"/>
      <c r="J13" s="105"/>
      <c r="K13" s="20"/>
      <c r="L13" s="20"/>
      <c r="M13" s="20"/>
      <c r="N13" s="20"/>
      <c r="O13" s="104"/>
      <c r="P13" s="105"/>
      <c r="Q13" s="20"/>
      <c r="R13" s="20"/>
      <c r="S13" s="20"/>
      <c r="T13" s="20"/>
      <c r="U13" s="104"/>
      <c r="V13" s="111">
        <v>7.0</v>
      </c>
      <c r="W13" s="20"/>
      <c r="X13" s="20"/>
      <c r="Y13" s="20"/>
      <c r="Z13" s="20"/>
      <c r="AA13" s="104"/>
      <c r="AB13" s="106">
        <f t="shared" si="1"/>
        <v>14140</v>
      </c>
      <c r="AC13" s="20"/>
      <c r="AD13" s="20"/>
      <c r="AE13" s="20"/>
      <c r="AF13" s="20"/>
      <c r="AG13" s="104"/>
      <c r="AH13" s="106">
        <f t="shared" si="2"/>
        <v>12726</v>
      </c>
      <c r="AI13" s="20"/>
      <c r="AJ13" s="20"/>
      <c r="AK13" s="20"/>
      <c r="AL13" s="20"/>
      <c r="AM13" s="104"/>
      <c r="AN13" s="106">
        <f t="shared" si="3"/>
        <v>1414</v>
      </c>
      <c r="AO13" s="20"/>
      <c r="AP13" s="20"/>
      <c r="AQ13" s="20"/>
      <c r="AR13" s="20"/>
      <c r="AS13" s="104"/>
      <c r="AT13" s="107"/>
      <c r="AU13" s="20"/>
      <c r="AV13" s="20"/>
      <c r="AW13" s="20"/>
      <c r="AX13" s="20"/>
      <c r="AY13" s="104"/>
      <c r="AZ13" s="107"/>
      <c r="BA13" s="20"/>
      <c r="BB13" s="20"/>
      <c r="BC13" s="20"/>
      <c r="BD13" s="20"/>
      <c r="BE13" s="20"/>
      <c r="BF13" s="20"/>
      <c r="BG13" s="20"/>
      <c r="BH13" s="10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</row>
    <row r="14" ht="30.0" customHeight="1">
      <c r="A14" s="66"/>
      <c r="B14" s="109" t="s">
        <v>98</v>
      </c>
      <c r="C14" s="20"/>
      <c r="D14" s="20"/>
      <c r="E14" s="20"/>
      <c r="F14" s="103"/>
      <c r="G14" s="20"/>
      <c r="H14" s="20"/>
      <c r="I14" s="104"/>
      <c r="J14" s="110"/>
      <c r="K14" s="20"/>
      <c r="L14" s="20"/>
      <c r="M14" s="20"/>
      <c r="N14" s="20"/>
      <c r="O14" s="104"/>
      <c r="P14" s="110"/>
      <c r="Q14" s="20"/>
      <c r="R14" s="20"/>
      <c r="S14" s="20"/>
      <c r="T14" s="20"/>
      <c r="U14" s="104"/>
      <c r="V14" s="111">
        <v>0.0</v>
      </c>
      <c r="W14" s="20"/>
      <c r="X14" s="20"/>
      <c r="Y14" s="20"/>
      <c r="Z14" s="20"/>
      <c r="AA14" s="104"/>
      <c r="AB14" s="106">
        <f t="shared" si="1"/>
        <v>0</v>
      </c>
      <c r="AC14" s="20"/>
      <c r="AD14" s="20"/>
      <c r="AE14" s="20"/>
      <c r="AF14" s="20"/>
      <c r="AG14" s="104"/>
      <c r="AH14" s="106">
        <f t="shared" si="2"/>
        <v>0</v>
      </c>
      <c r="AI14" s="20"/>
      <c r="AJ14" s="20"/>
      <c r="AK14" s="20"/>
      <c r="AL14" s="20"/>
      <c r="AM14" s="104"/>
      <c r="AN14" s="106">
        <f t="shared" si="3"/>
        <v>0</v>
      </c>
      <c r="AO14" s="20"/>
      <c r="AP14" s="20"/>
      <c r="AQ14" s="20"/>
      <c r="AR14" s="20"/>
      <c r="AS14" s="104"/>
      <c r="AT14" s="107"/>
      <c r="AU14" s="20"/>
      <c r="AV14" s="20"/>
      <c r="AW14" s="20"/>
      <c r="AX14" s="20"/>
      <c r="AY14" s="104"/>
      <c r="AZ14" s="103" t="s">
        <v>48</v>
      </c>
      <c r="BA14" s="20"/>
      <c r="BB14" s="20"/>
      <c r="BC14" s="20"/>
      <c r="BD14" s="20"/>
      <c r="BE14" s="20"/>
      <c r="BF14" s="20"/>
      <c r="BG14" s="20"/>
      <c r="BH14" s="10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</row>
    <row r="15" ht="30.0" customHeight="1">
      <c r="A15" s="66"/>
      <c r="B15" s="102">
        <v>16.0</v>
      </c>
      <c r="C15" s="20"/>
      <c r="D15" s="20"/>
      <c r="E15" s="20"/>
      <c r="F15" s="103"/>
      <c r="G15" s="20"/>
      <c r="H15" s="20"/>
      <c r="I15" s="104"/>
      <c r="J15" s="105"/>
      <c r="K15" s="20"/>
      <c r="L15" s="20"/>
      <c r="M15" s="20"/>
      <c r="N15" s="20"/>
      <c r="O15" s="104"/>
      <c r="P15" s="105"/>
      <c r="Q15" s="20"/>
      <c r="R15" s="20"/>
      <c r="S15" s="20"/>
      <c r="T15" s="20"/>
      <c r="U15" s="104"/>
      <c r="V15" s="111">
        <v>2.0</v>
      </c>
      <c r="W15" s="20"/>
      <c r="X15" s="20"/>
      <c r="Y15" s="20"/>
      <c r="Z15" s="20"/>
      <c r="AA15" s="104"/>
      <c r="AB15" s="106">
        <f t="shared" si="1"/>
        <v>4040</v>
      </c>
      <c r="AC15" s="20"/>
      <c r="AD15" s="20"/>
      <c r="AE15" s="20"/>
      <c r="AF15" s="20"/>
      <c r="AG15" s="104"/>
      <c r="AH15" s="106">
        <f t="shared" si="2"/>
        <v>3636</v>
      </c>
      <c r="AI15" s="20"/>
      <c r="AJ15" s="20"/>
      <c r="AK15" s="20"/>
      <c r="AL15" s="20"/>
      <c r="AM15" s="104"/>
      <c r="AN15" s="106">
        <f t="shared" si="3"/>
        <v>404</v>
      </c>
      <c r="AO15" s="20"/>
      <c r="AP15" s="20"/>
      <c r="AQ15" s="20"/>
      <c r="AR15" s="20"/>
      <c r="AS15" s="104"/>
      <c r="AT15" s="107"/>
      <c r="AU15" s="20"/>
      <c r="AV15" s="20"/>
      <c r="AW15" s="20"/>
      <c r="AX15" s="20"/>
      <c r="AY15" s="104"/>
      <c r="AZ15" s="107"/>
      <c r="BA15" s="20"/>
      <c r="BB15" s="20"/>
      <c r="BC15" s="20"/>
      <c r="BD15" s="20"/>
      <c r="BE15" s="20"/>
      <c r="BF15" s="20"/>
      <c r="BG15" s="20"/>
      <c r="BH15" s="10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</row>
    <row r="16" ht="30.0" customHeight="1">
      <c r="A16" s="66"/>
      <c r="B16" s="109" t="s">
        <v>98</v>
      </c>
      <c r="C16" s="20"/>
      <c r="D16" s="20"/>
      <c r="E16" s="20"/>
      <c r="F16" s="103"/>
      <c r="G16" s="20"/>
      <c r="H16" s="20"/>
      <c r="I16" s="104"/>
      <c r="J16" s="110"/>
      <c r="K16" s="20"/>
      <c r="L16" s="20"/>
      <c r="M16" s="20"/>
      <c r="N16" s="20"/>
      <c r="O16" s="104"/>
      <c r="P16" s="110"/>
      <c r="Q16" s="20"/>
      <c r="R16" s="20"/>
      <c r="S16" s="20"/>
      <c r="T16" s="20"/>
      <c r="U16" s="104"/>
      <c r="V16" s="111">
        <v>0.0</v>
      </c>
      <c r="W16" s="20"/>
      <c r="X16" s="20"/>
      <c r="Y16" s="20"/>
      <c r="Z16" s="20"/>
      <c r="AA16" s="104"/>
      <c r="AB16" s="106">
        <f t="shared" si="1"/>
        <v>0</v>
      </c>
      <c r="AC16" s="20"/>
      <c r="AD16" s="20"/>
      <c r="AE16" s="20"/>
      <c r="AF16" s="20"/>
      <c r="AG16" s="104"/>
      <c r="AH16" s="106">
        <f t="shared" si="2"/>
        <v>0</v>
      </c>
      <c r="AI16" s="20"/>
      <c r="AJ16" s="20"/>
      <c r="AK16" s="20"/>
      <c r="AL16" s="20"/>
      <c r="AM16" s="104"/>
      <c r="AN16" s="106">
        <f t="shared" si="3"/>
        <v>0</v>
      </c>
      <c r="AO16" s="20"/>
      <c r="AP16" s="20"/>
      <c r="AQ16" s="20"/>
      <c r="AR16" s="20"/>
      <c r="AS16" s="104"/>
      <c r="AT16" s="107"/>
      <c r="AU16" s="20"/>
      <c r="AV16" s="20"/>
      <c r="AW16" s="20"/>
      <c r="AX16" s="20"/>
      <c r="AY16" s="104"/>
      <c r="AZ16" s="103" t="s">
        <v>48</v>
      </c>
      <c r="BA16" s="20"/>
      <c r="BB16" s="20"/>
      <c r="BC16" s="20"/>
      <c r="BD16" s="20"/>
      <c r="BE16" s="20"/>
      <c r="BF16" s="20"/>
      <c r="BG16" s="20"/>
      <c r="BH16" s="10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</row>
    <row r="17" ht="30.0" customHeight="1">
      <c r="A17" s="112"/>
      <c r="B17" s="113"/>
      <c r="C17" s="20"/>
      <c r="D17" s="20"/>
      <c r="E17" s="20"/>
      <c r="F17" s="107"/>
      <c r="G17" s="20"/>
      <c r="H17" s="20"/>
      <c r="I17" s="104"/>
      <c r="J17" s="110"/>
      <c r="K17" s="20"/>
      <c r="L17" s="20"/>
      <c r="M17" s="20"/>
      <c r="N17" s="20"/>
      <c r="O17" s="104"/>
      <c r="P17" s="107"/>
      <c r="Q17" s="20"/>
      <c r="R17" s="20"/>
      <c r="S17" s="20"/>
      <c r="T17" s="20"/>
      <c r="U17" s="104"/>
      <c r="V17" s="107"/>
      <c r="W17" s="20"/>
      <c r="X17" s="20"/>
      <c r="Y17" s="20"/>
      <c r="Z17" s="20"/>
      <c r="AA17" s="104"/>
      <c r="AB17" s="106" t="str">
        <f t="shared" si="1"/>
        <v/>
      </c>
      <c r="AC17" s="20"/>
      <c r="AD17" s="20"/>
      <c r="AE17" s="20"/>
      <c r="AF17" s="20"/>
      <c r="AG17" s="104"/>
      <c r="AH17" s="106" t="str">
        <f t="shared" si="2"/>
        <v/>
      </c>
      <c r="AI17" s="20"/>
      <c r="AJ17" s="20"/>
      <c r="AK17" s="20"/>
      <c r="AL17" s="20"/>
      <c r="AM17" s="104"/>
      <c r="AN17" s="106" t="str">
        <f t="shared" si="3"/>
        <v/>
      </c>
      <c r="AO17" s="20"/>
      <c r="AP17" s="20"/>
      <c r="AQ17" s="20"/>
      <c r="AR17" s="20"/>
      <c r="AS17" s="104"/>
      <c r="AT17" s="107"/>
      <c r="AU17" s="20"/>
      <c r="AV17" s="20"/>
      <c r="AW17" s="20"/>
      <c r="AX17" s="20"/>
      <c r="AY17" s="104"/>
      <c r="AZ17" s="107"/>
      <c r="BA17" s="20"/>
      <c r="BB17" s="20"/>
      <c r="BC17" s="20"/>
      <c r="BD17" s="20"/>
      <c r="BE17" s="20"/>
      <c r="BF17" s="20"/>
      <c r="BG17" s="20"/>
      <c r="BH17" s="10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ht="30.0" customHeight="1">
      <c r="A18" s="66"/>
      <c r="B18" s="113"/>
      <c r="C18" s="20"/>
      <c r="D18" s="20"/>
      <c r="E18" s="20"/>
      <c r="F18" s="107"/>
      <c r="G18" s="20"/>
      <c r="H18" s="20"/>
      <c r="I18" s="104"/>
      <c r="J18" s="110"/>
      <c r="K18" s="20"/>
      <c r="L18" s="20"/>
      <c r="M18" s="20"/>
      <c r="N18" s="20"/>
      <c r="O18" s="104"/>
      <c r="P18" s="110"/>
      <c r="Q18" s="20"/>
      <c r="R18" s="20"/>
      <c r="S18" s="20"/>
      <c r="T18" s="20"/>
      <c r="U18" s="104"/>
      <c r="V18" s="107"/>
      <c r="W18" s="20"/>
      <c r="X18" s="20"/>
      <c r="Y18" s="20"/>
      <c r="Z18" s="20"/>
      <c r="AA18" s="104"/>
      <c r="AB18" s="106" t="str">
        <f t="shared" si="1"/>
        <v/>
      </c>
      <c r="AC18" s="20"/>
      <c r="AD18" s="20"/>
      <c r="AE18" s="20"/>
      <c r="AF18" s="20"/>
      <c r="AG18" s="104"/>
      <c r="AH18" s="106" t="str">
        <f t="shared" si="2"/>
        <v/>
      </c>
      <c r="AI18" s="20"/>
      <c r="AJ18" s="20"/>
      <c r="AK18" s="20"/>
      <c r="AL18" s="20"/>
      <c r="AM18" s="104"/>
      <c r="AN18" s="106" t="str">
        <f t="shared" si="3"/>
        <v/>
      </c>
      <c r="AO18" s="20"/>
      <c r="AP18" s="20"/>
      <c r="AQ18" s="20"/>
      <c r="AR18" s="20"/>
      <c r="AS18" s="104"/>
      <c r="AT18" s="107"/>
      <c r="AU18" s="20"/>
      <c r="AV18" s="20"/>
      <c r="AW18" s="20"/>
      <c r="AX18" s="20"/>
      <c r="AY18" s="104"/>
      <c r="AZ18" s="107"/>
      <c r="BA18" s="20"/>
      <c r="BB18" s="20"/>
      <c r="BC18" s="20"/>
      <c r="BD18" s="20"/>
      <c r="BE18" s="20"/>
      <c r="BF18" s="20"/>
      <c r="BG18" s="20"/>
      <c r="BH18" s="10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 ht="30.0" customHeight="1">
      <c r="A19" s="112"/>
      <c r="B19" s="113"/>
      <c r="C19" s="20"/>
      <c r="D19" s="20"/>
      <c r="E19" s="20"/>
      <c r="F19" s="107"/>
      <c r="G19" s="20"/>
      <c r="H19" s="20"/>
      <c r="I19" s="104"/>
      <c r="J19" s="107"/>
      <c r="K19" s="20"/>
      <c r="L19" s="20"/>
      <c r="M19" s="20"/>
      <c r="N19" s="20"/>
      <c r="O19" s="104"/>
      <c r="P19" s="107"/>
      <c r="Q19" s="20"/>
      <c r="R19" s="20"/>
      <c r="S19" s="20"/>
      <c r="T19" s="20"/>
      <c r="U19" s="104"/>
      <c r="V19" s="107"/>
      <c r="W19" s="20"/>
      <c r="X19" s="20"/>
      <c r="Y19" s="20"/>
      <c r="Z19" s="20"/>
      <c r="AA19" s="104"/>
      <c r="AB19" s="106" t="str">
        <f t="shared" si="1"/>
        <v/>
      </c>
      <c r="AC19" s="20"/>
      <c r="AD19" s="20"/>
      <c r="AE19" s="20"/>
      <c r="AF19" s="20"/>
      <c r="AG19" s="104"/>
      <c r="AH19" s="106" t="str">
        <f t="shared" si="2"/>
        <v/>
      </c>
      <c r="AI19" s="20"/>
      <c r="AJ19" s="20"/>
      <c r="AK19" s="20"/>
      <c r="AL19" s="20"/>
      <c r="AM19" s="104"/>
      <c r="AN19" s="106" t="str">
        <f t="shared" si="3"/>
        <v/>
      </c>
      <c r="AO19" s="20"/>
      <c r="AP19" s="20"/>
      <c r="AQ19" s="20"/>
      <c r="AR19" s="20"/>
      <c r="AS19" s="104"/>
      <c r="AT19" s="107"/>
      <c r="AU19" s="20"/>
      <c r="AV19" s="20"/>
      <c r="AW19" s="20"/>
      <c r="AX19" s="20"/>
      <c r="AY19" s="104"/>
      <c r="AZ19" s="107"/>
      <c r="BA19" s="20"/>
      <c r="BB19" s="20"/>
      <c r="BC19" s="20"/>
      <c r="BD19" s="20"/>
      <c r="BE19" s="20"/>
      <c r="BF19" s="20"/>
      <c r="BG19" s="20"/>
      <c r="BH19" s="10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 ht="30.0" customHeight="1">
      <c r="A20" s="112"/>
      <c r="B20" s="113"/>
      <c r="C20" s="20"/>
      <c r="D20" s="20"/>
      <c r="E20" s="20"/>
      <c r="F20" s="107"/>
      <c r="G20" s="20"/>
      <c r="H20" s="20"/>
      <c r="I20" s="104"/>
      <c r="J20" s="110"/>
      <c r="K20" s="20"/>
      <c r="L20" s="20"/>
      <c r="M20" s="20"/>
      <c r="N20" s="20"/>
      <c r="O20" s="104"/>
      <c r="P20" s="110"/>
      <c r="Q20" s="20"/>
      <c r="R20" s="20"/>
      <c r="S20" s="20"/>
      <c r="T20" s="20"/>
      <c r="U20" s="104"/>
      <c r="V20" s="107"/>
      <c r="W20" s="20"/>
      <c r="X20" s="20"/>
      <c r="Y20" s="20"/>
      <c r="Z20" s="20"/>
      <c r="AA20" s="104"/>
      <c r="AB20" s="106" t="str">
        <f t="shared" si="1"/>
        <v/>
      </c>
      <c r="AC20" s="20"/>
      <c r="AD20" s="20"/>
      <c r="AE20" s="20"/>
      <c r="AF20" s="20"/>
      <c r="AG20" s="104"/>
      <c r="AH20" s="106" t="str">
        <f t="shared" si="2"/>
        <v/>
      </c>
      <c r="AI20" s="20"/>
      <c r="AJ20" s="20"/>
      <c r="AK20" s="20"/>
      <c r="AL20" s="20"/>
      <c r="AM20" s="104"/>
      <c r="AN20" s="106" t="str">
        <f t="shared" si="3"/>
        <v/>
      </c>
      <c r="AO20" s="20"/>
      <c r="AP20" s="20"/>
      <c r="AQ20" s="20"/>
      <c r="AR20" s="20"/>
      <c r="AS20" s="104"/>
      <c r="AT20" s="107"/>
      <c r="AU20" s="20"/>
      <c r="AV20" s="20"/>
      <c r="AW20" s="20"/>
      <c r="AX20" s="20"/>
      <c r="AY20" s="104"/>
      <c r="AZ20" s="107"/>
      <c r="BA20" s="20"/>
      <c r="BB20" s="20"/>
      <c r="BC20" s="20"/>
      <c r="BD20" s="20"/>
      <c r="BE20" s="20"/>
      <c r="BF20" s="20"/>
      <c r="BG20" s="20"/>
      <c r="BH20" s="10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 ht="30.0" customHeight="1">
      <c r="A21" s="66"/>
      <c r="B21" s="113"/>
      <c r="C21" s="20"/>
      <c r="D21" s="20"/>
      <c r="E21" s="20"/>
      <c r="F21" s="107"/>
      <c r="G21" s="20"/>
      <c r="H21" s="20"/>
      <c r="I21" s="104"/>
      <c r="J21" s="107"/>
      <c r="K21" s="20"/>
      <c r="L21" s="20"/>
      <c r="M21" s="20"/>
      <c r="N21" s="20"/>
      <c r="O21" s="104"/>
      <c r="P21" s="107"/>
      <c r="Q21" s="20"/>
      <c r="R21" s="20"/>
      <c r="S21" s="20"/>
      <c r="T21" s="20"/>
      <c r="U21" s="104"/>
      <c r="V21" s="107"/>
      <c r="W21" s="20"/>
      <c r="X21" s="20"/>
      <c r="Y21" s="20"/>
      <c r="Z21" s="20"/>
      <c r="AA21" s="104"/>
      <c r="AB21" s="106" t="str">
        <f t="shared" si="1"/>
        <v/>
      </c>
      <c r="AC21" s="20"/>
      <c r="AD21" s="20"/>
      <c r="AE21" s="20"/>
      <c r="AF21" s="20"/>
      <c r="AG21" s="104"/>
      <c r="AH21" s="106" t="str">
        <f t="shared" si="2"/>
        <v/>
      </c>
      <c r="AI21" s="20"/>
      <c r="AJ21" s="20"/>
      <c r="AK21" s="20"/>
      <c r="AL21" s="20"/>
      <c r="AM21" s="104"/>
      <c r="AN21" s="106" t="str">
        <f t="shared" si="3"/>
        <v/>
      </c>
      <c r="AO21" s="20"/>
      <c r="AP21" s="20"/>
      <c r="AQ21" s="20"/>
      <c r="AR21" s="20"/>
      <c r="AS21" s="104"/>
      <c r="AT21" s="107"/>
      <c r="AU21" s="20"/>
      <c r="AV21" s="20"/>
      <c r="AW21" s="20"/>
      <c r="AX21" s="20"/>
      <c r="AY21" s="104"/>
      <c r="AZ21" s="107"/>
      <c r="BA21" s="20"/>
      <c r="BB21" s="20"/>
      <c r="BC21" s="20"/>
      <c r="BD21" s="20"/>
      <c r="BE21" s="20"/>
      <c r="BF21" s="20"/>
      <c r="BG21" s="20"/>
      <c r="BH21" s="10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 ht="30.0" customHeight="1">
      <c r="A22" s="66"/>
      <c r="B22" s="113"/>
      <c r="C22" s="20"/>
      <c r="D22" s="20"/>
      <c r="E22" s="20"/>
      <c r="F22" s="107"/>
      <c r="G22" s="20"/>
      <c r="H22" s="20"/>
      <c r="I22" s="104"/>
      <c r="J22" s="110"/>
      <c r="K22" s="20"/>
      <c r="L22" s="20"/>
      <c r="M22" s="20"/>
      <c r="N22" s="20"/>
      <c r="O22" s="104"/>
      <c r="P22" s="110"/>
      <c r="Q22" s="20"/>
      <c r="R22" s="20"/>
      <c r="S22" s="20"/>
      <c r="T22" s="20"/>
      <c r="U22" s="104"/>
      <c r="V22" s="107"/>
      <c r="W22" s="20"/>
      <c r="X22" s="20"/>
      <c r="Y22" s="20"/>
      <c r="Z22" s="20"/>
      <c r="AA22" s="104"/>
      <c r="AB22" s="106" t="str">
        <f t="shared" si="1"/>
        <v/>
      </c>
      <c r="AC22" s="20"/>
      <c r="AD22" s="20"/>
      <c r="AE22" s="20"/>
      <c r="AF22" s="20"/>
      <c r="AG22" s="104"/>
      <c r="AH22" s="106" t="str">
        <f t="shared" si="2"/>
        <v/>
      </c>
      <c r="AI22" s="20"/>
      <c r="AJ22" s="20"/>
      <c r="AK22" s="20"/>
      <c r="AL22" s="20"/>
      <c r="AM22" s="104"/>
      <c r="AN22" s="106" t="str">
        <f t="shared" si="3"/>
        <v/>
      </c>
      <c r="AO22" s="20"/>
      <c r="AP22" s="20"/>
      <c r="AQ22" s="20"/>
      <c r="AR22" s="20"/>
      <c r="AS22" s="104"/>
      <c r="AT22" s="107"/>
      <c r="AU22" s="20"/>
      <c r="AV22" s="20"/>
      <c r="AW22" s="20"/>
      <c r="AX22" s="20"/>
      <c r="AY22" s="104"/>
      <c r="AZ22" s="107"/>
      <c r="BA22" s="20"/>
      <c r="BB22" s="20"/>
      <c r="BC22" s="20"/>
      <c r="BD22" s="20"/>
      <c r="BE22" s="20"/>
      <c r="BF22" s="20"/>
      <c r="BG22" s="20"/>
      <c r="BH22" s="10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 ht="30.0" customHeight="1">
      <c r="A23" s="66"/>
      <c r="B23" s="113"/>
      <c r="C23" s="20"/>
      <c r="D23" s="20"/>
      <c r="E23" s="20"/>
      <c r="F23" s="107"/>
      <c r="G23" s="20"/>
      <c r="H23" s="20"/>
      <c r="I23" s="104"/>
      <c r="J23" s="107"/>
      <c r="K23" s="20"/>
      <c r="L23" s="20"/>
      <c r="M23" s="20"/>
      <c r="N23" s="20"/>
      <c r="O23" s="104"/>
      <c r="P23" s="107"/>
      <c r="Q23" s="20"/>
      <c r="R23" s="20"/>
      <c r="S23" s="20"/>
      <c r="T23" s="20"/>
      <c r="U23" s="104"/>
      <c r="V23" s="107"/>
      <c r="W23" s="20"/>
      <c r="X23" s="20"/>
      <c r="Y23" s="20"/>
      <c r="Z23" s="20"/>
      <c r="AA23" s="104"/>
      <c r="AB23" s="106" t="str">
        <f t="shared" si="1"/>
        <v/>
      </c>
      <c r="AC23" s="20"/>
      <c r="AD23" s="20"/>
      <c r="AE23" s="20"/>
      <c r="AF23" s="20"/>
      <c r="AG23" s="104"/>
      <c r="AH23" s="106" t="str">
        <f t="shared" si="2"/>
        <v/>
      </c>
      <c r="AI23" s="20"/>
      <c r="AJ23" s="20"/>
      <c r="AK23" s="20"/>
      <c r="AL23" s="20"/>
      <c r="AM23" s="104"/>
      <c r="AN23" s="106" t="str">
        <f t="shared" si="3"/>
        <v/>
      </c>
      <c r="AO23" s="20"/>
      <c r="AP23" s="20"/>
      <c r="AQ23" s="20"/>
      <c r="AR23" s="20"/>
      <c r="AS23" s="104"/>
      <c r="AT23" s="107"/>
      <c r="AU23" s="20"/>
      <c r="AV23" s="20"/>
      <c r="AW23" s="20"/>
      <c r="AX23" s="20"/>
      <c r="AY23" s="104"/>
      <c r="AZ23" s="107"/>
      <c r="BA23" s="20"/>
      <c r="BB23" s="20"/>
      <c r="BC23" s="20"/>
      <c r="BD23" s="20"/>
      <c r="BE23" s="20"/>
      <c r="BF23" s="20"/>
      <c r="BG23" s="20"/>
      <c r="BH23" s="10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 ht="30.0" customHeight="1">
      <c r="A24" s="66"/>
      <c r="B24" s="113"/>
      <c r="C24" s="20"/>
      <c r="D24" s="20"/>
      <c r="E24" s="20"/>
      <c r="F24" s="107"/>
      <c r="G24" s="20"/>
      <c r="H24" s="20"/>
      <c r="I24" s="104"/>
      <c r="J24" s="110"/>
      <c r="K24" s="20"/>
      <c r="L24" s="20"/>
      <c r="M24" s="20"/>
      <c r="N24" s="20"/>
      <c r="O24" s="104"/>
      <c r="P24" s="110"/>
      <c r="Q24" s="20"/>
      <c r="R24" s="20"/>
      <c r="S24" s="20"/>
      <c r="T24" s="20"/>
      <c r="U24" s="104"/>
      <c r="V24" s="107"/>
      <c r="W24" s="20"/>
      <c r="X24" s="20"/>
      <c r="Y24" s="20"/>
      <c r="Z24" s="20"/>
      <c r="AA24" s="104"/>
      <c r="AB24" s="106" t="str">
        <f t="shared" si="1"/>
        <v/>
      </c>
      <c r="AC24" s="20"/>
      <c r="AD24" s="20"/>
      <c r="AE24" s="20"/>
      <c r="AF24" s="20"/>
      <c r="AG24" s="104"/>
      <c r="AH24" s="106" t="str">
        <f t="shared" si="2"/>
        <v/>
      </c>
      <c r="AI24" s="20"/>
      <c r="AJ24" s="20"/>
      <c r="AK24" s="20"/>
      <c r="AL24" s="20"/>
      <c r="AM24" s="104"/>
      <c r="AN24" s="106" t="str">
        <f t="shared" si="3"/>
        <v/>
      </c>
      <c r="AO24" s="20"/>
      <c r="AP24" s="20"/>
      <c r="AQ24" s="20"/>
      <c r="AR24" s="20"/>
      <c r="AS24" s="104"/>
      <c r="AT24" s="107"/>
      <c r="AU24" s="20"/>
      <c r="AV24" s="20"/>
      <c r="AW24" s="20"/>
      <c r="AX24" s="20"/>
      <c r="AY24" s="104"/>
      <c r="AZ24" s="107"/>
      <c r="BA24" s="20"/>
      <c r="BB24" s="20"/>
      <c r="BC24" s="20"/>
      <c r="BD24" s="20"/>
      <c r="BE24" s="20"/>
      <c r="BF24" s="20"/>
      <c r="BG24" s="20"/>
      <c r="BH24" s="10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 ht="30.0" customHeight="1">
      <c r="A25" s="66"/>
      <c r="B25" s="113"/>
      <c r="C25" s="20"/>
      <c r="D25" s="20"/>
      <c r="E25" s="20"/>
      <c r="F25" s="107"/>
      <c r="G25" s="20"/>
      <c r="H25" s="20"/>
      <c r="I25" s="104"/>
      <c r="J25" s="107"/>
      <c r="K25" s="20"/>
      <c r="L25" s="20"/>
      <c r="M25" s="20"/>
      <c r="N25" s="20"/>
      <c r="O25" s="104"/>
      <c r="P25" s="107"/>
      <c r="Q25" s="20"/>
      <c r="R25" s="20"/>
      <c r="S25" s="20"/>
      <c r="T25" s="20"/>
      <c r="U25" s="104"/>
      <c r="V25" s="107"/>
      <c r="W25" s="20"/>
      <c r="X25" s="20"/>
      <c r="Y25" s="20"/>
      <c r="Z25" s="20"/>
      <c r="AA25" s="104"/>
      <c r="AB25" s="106" t="str">
        <f t="shared" si="1"/>
        <v/>
      </c>
      <c r="AC25" s="20"/>
      <c r="AD25" s="20"/>
      <c r="AE25" s="20"/>
      <c r="AF25" s="20"/>
      <c r="AG25" s="104"/>
      <c r="AH25" s="106" t="str">
        <f t="shared" si="2"/>
        <v/>
      </c>
      <c r="AI25" s="20"/>
      <c r="AJ25" s="20"/>
      <c r="AK25" s="20"/>
      <c r="AL25" s="20"/>
      <c r="AM25" s="104"/>
      <c r="AN25" s="106" t="str">
        <f t="shared" si="3"/>
        <v/>
      </c>
      <c r="AO25" s="20"/>
      <c r="AP25" s="20"/>
      <c r="AQ25" s="20"/>
      <c r="AR25" s="20"/>
      <c r="AS25" s="104"/>
      <c r="AT25" s="107"/>
      <c r="AU25" s="20"/>
      <c r="AV25" s="20"/>
      <c r="AW25" s="20"/>
      <c r="AX25" s="20"/>
      <c r="AY25" s="104"/>
      <c r="AZ25" s="107"/>
      <c r="BA25" s="20"/>
      <c r="BB25" s="20"/>
      <c r="BC25" s="20"/>
      <c r="BD25" s="20"/>
      <c r="BE25" s="20"/>
      <c r="BF25" s="20"/>
      <c r="BG25" s="20"/>
      <c r="BH25" s="10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 ht="30.0" customHeight="1">
      <c r="A26" s="66"/>
      <c r="B26" s="113"/>
      <c r="C26" s="20"/>
      <c r="D26" s="20"/>
      <c r="E26" s="20"/>
      <c r="F26" s="107"/>
      <c r="G26" s="20"/>
      <c r="H26" s="20"/>
      <c r="I26" s="104"/>
      <c r="J26" s="110"/>
      <c r="K26" s="20"/>
      <c r="L26" s="20"/>
      <c r="M26" s="20"/>
      <c r="N26" s="20"/>
      <c r="O26" s="104"/>
      <c r="P26" s="110"/>
      <c r="Q26" s="20"/>
      <c r="R26" s="20"/>
      <c r="S26" s="20"/>
      <c r="T26" s="20"/>
      <c r="U26" s="104"/>
      <c r="V26" s="107"/>
      <c r="W26" s="20"/>
      <c r="X26" s="20"/>
      <c r="Y26" s="20"/>
      <c r="Z26" s="20"/>
      <c r="AA26" s="104"/>
      <c r="AB26" s="106" t="str">
        <f t="shared" si="1"/>
        <v/>
      </c>
      <c r="AC26" s="20"/>
      <c r="AD26" s="20"/>
      <c r="AE26" s="20"/>
      <c r="AF26" s="20"/>
      <c r="AG26" s="104"/>
      <c r="AH26" s="106" t="str">
        <f t="shared" si="2"/>
        <v/>
      </c>
      <c r="AI26" s="20"/>
      <c r="AJ26" s="20"/>
      <c r="AK26" s="20"/>
      <c r="AL26" s="20"/>
      <c r="AM26" s="104"/>
      <c r="AN26" s="106" t="str">
        <f t="shared" si="3"/>
        <v/>
      </c>
      <c r="AO26" s="20"/>
      <c r="AP26" s="20"/>
      <c r="AQ26" s="20"/>
      <c r="AR26" s="20"/>
      <c r="AS26" s="104"/>
      <c r="AT26" s="107"/>
      <c r="AU26" s="20"/>
      <c r="AV26" s="20"/>
      <c r="AW26" s="20"/>
      <c r="AX26" s="20"/>
      <c r="AY26" s="104"/>
      <c r="AZ26" s="107"/>
      <c r="BA26" s="20"/>
      <c r="BB26" s="20"/>
      <c r="BC26" s="20"/>
      <c r="BD26" s="20"/>
      <c r="BE26" s="20"/>
      <c r="BF26" s="20"/>
      <c r="BG26" s="20"/>
      <c r="BH26" s="10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 ht="30.0" customHeight="1">
      <c r="A27" s="66"/>
      <c r="B27" s="113"/>
      <c r="C27" s="20"/>
      <c r="D27" s="20"/>
      <c r="E27" s="20"/>
      <c r="F27" s="107"/>
      <c r="G27" s="20"/>
      <c r="H27" s="20"/>
      <c r="I27" s="104"/>
      <c r="J27" s="107"/>
      <c r="K27" s="20"/>
      <c r="L27" s="20"/>
      <c r="M27" s="20"/>
      <c r="N27" s="20"/>
      <c r="O27" s="104"/>
      <c r="P27" s="107"/>
      <c r="Q27" s="20"/>
      <c r="R27" s="20"/>
      <c r="S27" s="20"/>
      <c r="T27" s="20"/>
      <c r="U27" s="104"/>
      <c r="V27" s="107"/>
      <c r="W27" s="20"/>
      <c r="X27" s="20"/>
      <c r="Y27" s="20"/>
      <c r="Z27" s="20"/>
      <c r="AA27" s="104"/>
      <c r="AB27" s="106" t="str">
        <f t="shared" si="1"/>
        <v/>
      </c>
      <c r="AC27" s="20"/>
      <c r="AD27" s="20"/>
      <c r="AE27" s="20"/>
      <c r="AF27" s="20"/>
      <c r="AG27" s="104"/>
      <c r="AH27" s="106" t="str">
        <f t="shared" si="2"/>
        <v/>
      </c>
      <c r="AI27" s="20"/>
      <c r="AJ27" s="20"/>
      <c r="AK27" s="20"/>
      <c r="AL27" s="20"/>
      <c r="AM27" s="104"/>
      <c r="AN27" s="106" t="str">
        <f t="shared" si="3"/>
        <v/>
      </c>
      <c r="AO27" s="20"/>
      <c r="AP27" s="20"/>
      <c r="AQ27" s="20"/>
      <c r="AR27" s="20"/>
      <c r="AS27" s="104"/>
      <c r="AT27" s="107"/>
      <c r="AU27" s="20"/>
      <c r="AV27" s="20"/>
      <c r="AW27" s="20"/>
      <c r="AX27" s="20"/>
      <c r="AY27" s="104"/>
      <c r="AZ27" s="107"/>
      <c r="BA27" s="20"/>
      <c r="BB27" s="20"/>
      <c r="BC27" s="20"/>
      <c r="BD27" s="20"/>
      <c r="BE27" s="20"/>
      <c r="BF27" s="20"/>
      <c r="BG27" s="20"/>
      <c r="BH27" s="10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 ht="30.0" customHeight="1">
      <c r="A28" s="66"/>
      <c r="B28" s="113"/>
      <c r="C28" s="20"/>
      <c r="D28" s="20"/>
      <c r="E28" s="20"/>
      <c r="F28" s="107"/>
      <c r="G28" s="20"/>
      <c r="H28" s="20"/>
      <c r="I28" s="104"/>
      <c r="J28" s="110"/>
      <c r="K28" s="20"/>
      <c r="L28" s="20"/>
      <c r="M28" s="20"/>
      <c r="N28" s="20"/>
      <c r="O28" s="104"/>
      <c r="P28" s="110"/>
      <c r="Q28" s="20"/>
      <c r="R28" s="20"/>
      <c r="S28" s="20"/>
      <c r="T28" s="20"/>
      <c r="U28" s="104"/>
      <c r="V28" s="107"/>
      <c r="W28" s="20"/>
      <c r="X28" s="20"/>
      <c r="Y28" s="20"/>
      <c r="Z28" s="20"/>
      <c r="AA28" s="104"/>
      <c r="AB28" s="106" t="str">
        <f t="shared" si="1"/>
        <v/>
      </c>
      <c r="AC28" s="20"/>
      <c r="AD28" s="20"/>
      <c r="AE28" s="20"/>
      <c r="AF28" s="20"/>
      <c r="AG28" s="104"/>
      <c r="AH28" s="106" t="str">
        <f t="shared" si="2"/>
        <v/>
      </c>
      <c r="AI28" s="20"/>
      <c r="AJ28" s="20"/>
      <c r="AK28" s="20"/>
      <c r="AL28" s="20"/>
      <c r="AM28" s="104"/>
      <c r="AN28" s="106" t="str">
        <f t="shared" si="3"/>
        <v/>
      </c>
      <c r="AO28" s="20"/>
      <c r="AP28" s="20"/>
      <c r="AQ28" s="20"/>
      <c r="AR28" s="20"/>
      <c r="AS28" s="104"/>
      <c r="AT28" s="107"/>
      <c r="AU28" s="20"/>
      <c r="AV28" s="20"/>
      <c r="AW28" s="20"/>
      <c r="AX28" s="20"/>
      <c r="AY28" s="104"/>
      <c r="AZ28" s="107"/>
      <c r="BA28" s="20"/>
      <c r="BB28" s="20"/>
      <c r="BC28" s="20"/>
      <c r="BD28" s="20"/>
      <c r="BE28" s="20"/>
      <c r="BF28" s="20"/>
      <c r="BG28" s="20"/>
      <c r="BH28" s="10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 ht="33.75" customHeight="1">
      <c r="A29" s="66"/>
      <c r="B29" s="114" t="s">
        <v>90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6"/>
      <c r="AB29" s="117" t="str">
        <f>SUM(AB11:AB92)</f>
        <v>#REF!</v>
      </c>
      <c r="AC29" s="115"/>
      <c r="AD29" s="115"/>
      <c r="AE29" s="115"/>
      <c r="AF29" s="115"/>
      <c r="AG29" s="116"/>
      <c r="AH29" s="117" t="str">
        <f>SUM(AH11:AH92)</f>
        <v>#REF!</v>
      </c>
      <c r="AI29" s="115"/>
      <c r="AJ29" s="115"/>
      <c r="AK29" s="115"/>
      <c r="AL29" s="115"/>
      <c r="AM29" s="116"/>
      <c r="AN29" s="117" t="str">
        <f>SUM(AN11:AN92)</f>
        <v>#REF!</v>
      </c>
      <c r="AO29" s="115"/>
      <c r="AP29" s="115"/>
      <c r="AQ29" s="115"/>
      <c r="AR29" s="115"/>
      <c r="AS29" s="116"/>
      <c r="AT29" s="118"/>
      <c r="AU29" s="115"/>
      <c r="AV29" s="115"/>
      <c r="AW29" s="115"/>
      <c r="AX29" s="115"/>
      <c r="AY29" s="116"/>
      <c r="AZ29" s="119"/>
      <c r="BA29" s="115"/>
      <c r="BB29" s="115"/>
      <c r="BC29" s="115"/>
      <c r="BD29" s="115"/>
      <c r="BE29" s="115"/>
      <c r="BF29" s="115"/>
      <c r="BG29" s="115"/>
      <c r="BH29" s="120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</row>
    <row r="30" ht="23.2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122">
        <v>3.0</v>
      </c>
      <c r="AX30" s="17"/>
      <c r="AY30" s="26"/>
      <c r="AZ30" s="123" t="s">
        <v>91</v>
      </c>
      <c r="BA30" s="17"/>
      <c r="BB30" s="26"/>
      <c r="BC30" s="123">
        <v>1.0</v>
      </c>
      <c r="BD30" s="17"/>
      <c r="BE30" s="26"/>
      <c r="BF30" s="123" t="s">
        <v>92</v>
      </c>
      <c r="BG30" s="17"/>
      <c r="BH30" s="26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</row>
    <row r="31" ht="33.0" hidden="1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</row>
    <row r="32" ht="19.5" hidden="1" customHeight="1">
      <c r="A32" s="66"/>
      <c r="B32" s="66"/>
      <c r="C32" s="66"/>
      <c r="D32" s="67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6"/>
      <c r="P32" s="66"/>
      <c r="Q32" s="66"/>
      <c r="R32" s="66"/>
      <c r="S32" s="69" t="s">
        <v>75</v>
      </c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</row>
    <row r="33" ht="15.75" hidden="1" customHeight="1">
      <c r="A33" s="66"/>
      <c r="B33" s="70" t="s">
        <v>76</v>
      </c>
      <c r="C33" s="71"/>
      <c r="D33" s="71"/>
      <c r="E33" s="71"/>
      <c r="F33" s="71"/>
      <c r="G33" s="72"/>
      <c r="H33" s="137">
        <v>3980.0</v>
      </c>
      <c r="I33" s="71"/>
      <c r="J33" s="71"/>
      <c r="K33" s="71"/>
      <c r="L33" s="71"/>
      <c r="M33" s="71"/>
      <c r="N33" s="71"/>
      <c r="O33" s="71"/>
      <c r="P33" s="71"/>
      <c r="Q33" s="72"/>
      <c r="R33" s="74" t="s">
        <v>77</v>
      </c>
      <c r="S33" s="71"/>
      <c r="T33" s="71"/>
      <c r="U33" s="71"/>
      <c r="V33" s="71"/>
      <c r="W33" s="71"/>
      <c r="X33" s="71"/>
      <c r="Y33" s="71"/>
      <c r="Z33" s="71"/>
      <c r="AA33" s="71"/>
      <c r="AB33" s="72"/>
      <c r="AC33" s="75" t="s">
        <v>97</v>
      </c>
      <c r="AD33" s="71"/>
      <c r="AE33" s="71"/>
      <c r="AF33" s="71"/>
      <c r="AG33" s="71"/>
      <c r="AH33" s="71"/>
      <c r="AI33" s="71"/>
      <c r="AJ33" s="71"/>
      <c r="AK33" s="71"/>
      <c r="AL33" s="71"/>
      <c r="AM33" s="72"/>
      <c r="AN33" s="76" t="s">
        <v>78</v>
      </c>
      <c r="AO33" s="71"/>
      <c r="AP33" s="71"/>
      <c r="AQ33" s="71"/>
      <c r="AR33" s="71"/>
      <c r="AS33" s="71"/>
      <c r="AT33" s="72"/>
      <c r="AU33" s="77" t="s">
        <v>79</v>
      </c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8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</row>
    <row r="34" ht="15.75" hidden="1" customHeight="1">
      <c r="A34" s="66"/>
      <c r="B34" s="80"/>
      <c r="C34" s="17"/>
      <c r="D34" s="17"/>
      <c r="E34" s="17"/>
      <c r="F34" s="17"/>
      <c r="G34" s="26"/>
      <c r="H34" s="25"/>
      <c r="I34" s="17"/>
      <c r="J34" s="17"/>
      <c r="K34" s="17"/>
      <c r="L34" s="17"/>
      <c r="M34" s="17"/>
      <c r="N34" s="17"/>
      <c r="O34" s="17"/>
      <c r="P34" s="17"/>
      <c r="Q34" s="26"/>
      <c r="R34" s="25"/>
      <c r="S34" s="17"/>
      <c r="T34" s="17"/>
      <c r="U34" s="17"/>
      <c r="V34" s="17"/>
      <c r="W34" s="17"/>
      <c r="X34" s="17"/>
      <c r="Y34" s="17"/>
      <c r="Z34" s="17"/>
      <c r="AA34" s="17"/>
      <c r="AB34" s="26"/>
      <c r="AC34" s="25"/>
      <c r="AD34" s="17"/>
      <c r="AE34" s="17"/>
      <c r="AF34" s="17"/>
      <c r="AG34" s="17"/>
      <c r="AH34" s="17"/>
      <c r="AI34" s="17"/>
      <c r="AJ34" s="17"/>
      <c r="AK34" s="17"/>
      <c r="AL34" s="17"/>
      <c r="AM34" s="26"/>
      <c r="AN34" s="81"/>
      <c r="AT34" s="49"/>
      <c r="AU34" s="81"/>
      <c r="BH34" s="82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</row>
    <row r="35" ht="15.75" hidden="1" customHeight="1">
      <c r="A35" s="66"/>
      <c r="B35" s="125" t="s">
        <v>80</v>
      </c>
      <c r="C35" s="22"/>
      <c r="D35" s="22"/>
      <c r="E35" s="22"/>
      <c r="F35" s="22"/>
      <c r="G35" s="84"/>
      <c r="H35" s="138" t="s">
        <v>33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84"/>
      <c r="AN35" s="81"/>
      <c r="AT35" s="49"/>
      <c r="AU35" s="81"/>
      <c r="BH35" s="82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</row>
    <row r="36" ht="15.75" hidden="1" customHeight="1">
      <c r="A36" s="66"/>
      <c r="B36" s="86"/>
      <c r="G36" s="49"/>
      <c r="H36" s="81"/>
      <c r="AM36" s="49"/>
      <c r="AN36" s="81"/>
      <c r="AT36" s="49"/>
      <c r="AU36" s="81"/>
      <c r="BH36" s="82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</row>
    <row r="37" ht="3.75" hidden="1" customHeight="1">
      <c r="A37" s="66"/>
      <c r="B37" s="87"/>
      <c r="C37" s="68"/>
      <c r="D37" s="68"/>
      <c r="E37" s="68"/>
      <c r="F37" s="68"/>
      <c r="G37" s="88"/>
      <c r="H37" s="89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88"/>
      <c r="AN37" s="89"/>
      <c r="AO37" s="68"/>
      <c r="AP37" s="68"/>
      <c r="AQ37" s="68"/>
      <c r="AR37" s="68"/>
      <c r="AS37" s="68"/>
      <c r="AT37" s="88"/>
      <c r="AU37" s="89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90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</row>
    <row r="38" ht="5.25" hidden="1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</row>
    <row r="39" ht="15.75" hidden="1" customHeight="1">
      <c r="A39" s="66"/>
      <c r="B39" s="126" t="s">
        <v>81</v>
      </c>
      <c r="C39" s="71"/>
      <c r="D39" s="71"/>
      <c r="E39" s="72"/>
      <c r="F39" s="127" t="s">
        <v>82</v>
      </c>
      <c r="G39" s="71"/>
      <c r="H39" s="71"/>
      <c r="I39" s="72"/>
      <c r="J39" s="128" t="s">
        <v>83</v>
      </c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5"/>
      <c r="V39" s="129" t="s">
        <v>93</v>
      </c>
      <c r="W39" s="71"/>
      <c r="X39" s="71"/>
      <c r="Y39" s="71"/>
      <c r="Z39" s="71"/>
      <c r="AA39" s="72"/>
      <c r="AB39" s="97" t="s">
        <v>85</v>
      </c>
      <c r="AC39" s="71"/>
      <c r="AD39" s="71"/>
      <c r="AE39" s="71"/>
      <c r="AF39" s="71"/>
      <c r="AG39" s="72"/>
      <c r="AH39" s="98" t="s">
        <v>46</v>
      </c>
      <c r="AI39" s="71"/>
      <c r="AJ39" s="71"/>
      <c r="AK39" s="71"/>
      <c r="AL39" s="71"/>
      <c r="AM39" s="72"/>
      <c r="AN39" s="96" t="s">
        <v>86</v>
      </c>
      <c r="AO39" s="71"/>
      <c r="AP39" s="71"/>
      <c r="AQ39" s="71"/>
      <c r="AR39" s="71"/>
      <c r="AS39" s="72"/>
      <c r="AT39" s="96" t="s">
        <v>87</v>
      </c>
      <c r="AU39" s="71"/>
      <c r="AV39" s="71"/>
      <c r="AW39" s="71"/>
      <c r="AX39" s="71"/>
      <c r="AY39" s="72"/>
      <c r="AZ39" s="99"/>
      <c r="BA39" s="71"/>
      <c r="BB39" s="71"/>
      <c r="BC39" s="71"/>
      <c r="BD39" s="71"/>
      <c r="BE39" s="71"/>
      <c r="BF39" s="71"/>
      <c r="BG39" s="71"/>
      <c r="BH39" s="78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</row>
    <row r="40" ht="15.75" hidden="1" customHeight="1">
      <c r="A40" s="66"/>
      <c r="B40" s="86"/>
      <c r="E40" s="49"/>
      <c r="F40" s="81"/>
      <c r="I40" s="49"/>
      <c r="J40" s="130" t="s">
        <v>94</v>
      </c>
      <c r="K40" s="22"/>
      <c r="L40" s="22"/>
      <c r="M40" s="22"/>
      <c r="N40" s="22"/>
      <c r="O40" s="84"/>
      <c r="P40" s="130" t="s">
        <v>95</v>
      </c>
      <c r="Q40" s="22"/>
      <c r="R40" s="22"/>
      <c r="S40" s="22"/>
      <c r="T40" s="22"/>
      <c r="U40" s="84"/>
      <c r="V40" s="81"/>
      <c r="AA40" s="49"/>
      <c r="AB40" s="81"/>
      <c r="AG40" s="49"/>
      <c r="AH40" s="81"/>
      <c r="AM40" s="49"/>
      <c r="AN40" s="81"/>
      <c r="AS40" s="49"/>
      <c r="AT40" s="81"/>
      <c r="AY40" s="49"/>
      <c r="AZ40" s="81"/>
      <c r="BH40" s="82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</row>
    <row r="41" ht="15.75" hidden="1" customHeight="1">
      <c r="A41" s="66"/>
      <c r="B41" s="80"/>
      <c r="C41" s="17"/>
      <c r="D41" s="17"/>
      <c r="E41" s="26"/>
      <c r="F41" s="25"/>
      <c r="G41" s="17"/>
      <c r="H41" s="17"/>
      <c r="I41" s="26"/>
      <c r="J41" s="25"/>
      <c r="K41" s="17"/>
      <c r="L41" s="17"/>
      <c r="M41" s="17"/>
      <c r="N41" s="17"/>
      <c r="O41" s="26"/>
      <c r="P41" s="25"/>
      <c r="Q41" s="17"/>
      <c r="R41" s="17"/>
      <c r="S41" s="17"/>
      <c r="T41" s="17"/>
      <c r="U41" s="26"/>
      <c r="V41" s="25"/>
      <c r="W41" s="17"/>
      <c r="X41" s="17"/>
      <c r="Y41" s="17"/>
      <c r="Z41" s="17"/>
      <c r="AA41" s="26"/>
      <c r="AB41" s="25"/>
      <c r="AC41" s="17"/>
      <c r="AD41" s="17"/>
      <c r="AE41" s="17"/>
      <c r="AF41" s="17"/>
      <c r="AG41" s="26"/>
      <c r="AH41" s="25"/>
      <c r="AI41" s="17"/>
      <c r="AJ41" s="17"/>
      <c r="AK41" s="17"/>
      <c r="AL41" s="17"/>
      <c r="AM41" s="26"/>
      <c r="AN41" s="25"/>
      <c r="AO41" s="17"/>
      <c r="AP41" s="17"/>
      <c r="AQ41" s="17"/>
      <c r="AR41" s="17"/>
      <c r="AS41" s="26"/>
      <c r="AT41" s="25"/>
      <c r="AU41" s="17"/>
      <c r="AV41" s="17"/>
      <c r="AW41" s="17"/>
      <c r="AX41" s="17"/>
      <c r="AY41" s="26"/>
      <c r="AZ41" s="25"/>
      <c r="BA41" s="17"/>
      <c r="BB41" s="17"/>
      <c r="BC41" s="17"/>
      <c r="BD41" s="17"/>
      <c r="BE41" s="17"/>
      <c r="BF41" s="17"/>
      <c r="BG41" s="17"/>
      <c r="BH41" s="101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</row>
    <row r="42" ht="30.0" hidden="1" customHeight="1">
      <c r="A42" s="66"/>
      <c r="B42" s="113"/>
      <c r="C42" s="20"/>
      <c r="D42" s="20"/>
      <c r="E42" s="20"/>
      <c r="F42" s="107"/>
      <c r="G42" s="20"/>
      <c r="H42" s="20"/>
      <c r="I42" s="104"/>
      <c r="J42" s="107"/>
      <c r="K42" s="20"/>
      <c r="L42" s="20"/>
      <c r="M42" s="20"/>
      <c r="N42" s="20"/>
      <c r="O42" s="104"/>
      <c r="P42" s="107"/>
      <c r="Q42" s="20"/>
      <c r="R42" s="20"/>
      <c r="S42" s="20"/>
      <c r="T42" s="20"/>
      <c r="U42" s="104"/>
      <c r="V42" s="107"/>
      <c r="W42" s="20"/>
      <c r="X42" s="20"/>
      <c r="Y42" s="20"/>
      <c r="Z42" s="20"/>
      <c r="AA42" s="104"/>
      <c r="AB42" s="106" t="str">
        <f t="shared" ref="AB42:AB58" si="4">IF(V42="", "", V42 * 2020)</f>
        <v/>
      </c>
      <c r="AC42" s="20"/>
      <c r="AD42" s="20"/>
      <c r="AE42" s="20"/>
      <c r="AF42" s="20"/>
      <c r="AG42" s="104"/>
      <c r="AH42" s="106" t="str">
        <f t="shared" ref="AH42:AH58" si="5">IF(AB42="", "", AB42 - AN42)</f>
        <v/>
      </c>
      <c r="AI42" s="20"/>
      <c r="AJ42" s="20"/>
      <c r="AK42" s="20"/>
      <c r="AL42" s="20"/>
      <c r="AM42" s="104"/>
      <c r="AN42" s="106" t="str">
        <f t="shared" ref="AN42:AN58" si="6">IF(AB42="", "", ROUNDDOWN(AB42 * 0.1,0))</f>
        <v/>
      </c>
      <c r="AO42" s="20"/>
      <c r="AP42" s="20"/>
      <c r="AQ42" s="20"/>
      <c r="AR42" s="20"/>
      <c r="AS42" s="104"/>
      <c r="AT42" s="107"/>
      <c r="AU42" s="20"/>
      <c r="AV42" s="20"/>
      <c r="AW42" s="20"/>
      <c r="AX42" s="20"/>
      <c r="AY42" s="104"/>
      <c r="AZ42" s="107"/>
      <c r="BA42" s="20"/>
      <c r="BB42" s="20"/>
      <c r="BC42" s="20"/>
      <c r="BD42" s="20"/>
      <c r="BE42" s="20"/>
      <c r="BF42" s="20"/>
      <c r="BG42" s="20"/>
      <c r="BH42" s="10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 ht="30.0" hidden="1" customHeight="1">
      <c r="A43" s="66"/>
      <c r="B43" s="113"/>
      <c r="C43" s="20"/>
      <c r="D43" s="20"/>
      <c r="E43" s="20"/>
      <c r="F43" s="107"/>
      <c r="G43" s="20"/>
      <c r="H43" s="20"/>
      <c r="I43" s="104"/>
      <c r="J43" s="110"/>
      <c r="K43" s="20"/>
      <c r="L43" s="20"/>
      <c r="M43" s="20"/>
      <c r="N43" s="20"/>
      <c r="O43" s="104"/>
      <c r="P43" s="110"/>
      <c r="Q43" s="20"/>
      <c r="R43" s="20"/>
      <c r="S43" s="20"/>
      <c r="T43" s="20"/>
      <c r="U43" s="104"/>
      <c r="V43" s="107"/>
      <c r="W43" s="20"/>
      <c r="X43" s="20"/>
      <c r="Y43" s="20"/>
      <c r="Z43" s="20"/>
      <c r="AA43" s="104"/>
      <c r="AB43" s="106" t="str">
        <f t="shared" si="4"/>
        <v/>
      </c>
      <c r="AC43" s="20"/>
      <c r="AD43" s="20"/>
      <c r="AE43" s="20"/>
      <c r="AF43" s="20"/>
      <c r="AG43" s="104"/>
      <c r="AH43" s="106" t="str">
        <f t="shared" si="5"/>
        <v/>
      </c>
      <c r="AI43" s="20"/>
      <c r="AJ43" s="20"/>
      <c r="AK43" s="20"/>
      <c r="AL43" s="20"/>
      <c r="AM43" s="104"/>
      <c r="AN43" s="106" t="str">
        <f t="shared" si="6"/>
        <v/>
      </c>
      <c r="AO43" s="20"/>
      <c r="AP43" s="20"/>
      <c r="AQ43" s="20"/>
      <c r="AR43" s="20"/>
      <c r="AS43" s="104"/>
      <c r="AT43" s="107"/>
      <c r="AU43" s="20"/>
      <c r="AV43" s="20"/>
      <c r="AW43" s="20"/>
      <c r="AX43" s="20"/>
      <c r="AY43" s="104"/>
      <c r="AZ43" s="107"/>
      <c r="BA43" s="20"/>
      <c r="BB43" s="20"/>
      <c r="BC43" s="20"/>
      <c r="BD43" s="20"/>
      <c r="BE43" s="20"/>
      <c r="BF43" s="20"/>
      <c r="BG43" s="20"/>
      <c r="BH43" s="10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 ht="30.0" hidden="1" customHeight="1">
      <c r="A44" s="66"/>
      <c r="B44" s="113"/>
      <c r="C44" s="20"/>
      <c r="D44" s="20"/>
      <c r="E44" s="20"/>
      <c r="F44" s="107"/>
      <c r="G44" s="20"/>
      <c r="H44" s="20"/>
      <c r="I44" s="104"/>
      <c r="J44" s="107"/>
      <c r="K44" s="20"/>
      <c r="L44" s="20"/>
      <c r="M44" s="20"/>
      <c r="N44" s="20"/>
      <c r="O44" s="104"/>
      <c r="P44" s="107"/>
      <c r="Q44" s="20"/>
      <c r="R44" s="20"/>
      <c r="S44" s="20"/>
      <c r="T44" s="20"/>
      <c r="U44" s="104"/>
      <c r="V44" s="107"/>
      <c r="W44" s="20"/>
      <c r="X44" s="20"/>
      <c r="Y44" s="20"/>
      <c r="Z44" s="20"/>
      <c r="AA44" s="104"/>
      <c r="AB44" s="106" t="str">
        <f t="shared" si="4"/>
        <v/>
      </c>
      <c r="AC44" s="20"/>
      <c r="AD44" s="20"/>
      <c r="AE44" s="20"/>
      <c r="AF44" s="20"/>
      <c r="AG44" s="104"/>
      <c r="AH44" s="106" t="str">
        <f t="shared" si="5"/>
        <v/>
      </c>
      <c r="AI44" s="20"/>
      <c r="AJ44" s="20"/>
      <c r="AK44" s="20"/>
      <c r="AL44" s="20"/>
      <c r="AM44" s="104"/>
      <c r="AN44" s="106" t="str">
        <f t="shared" si="6"/>
        <v/>
      </c>
      <c r="AO44" s="20"/>
      <c r="AP44" s="20"/>
      <c r="AQ44" s="20"/>
      <c r="AR44" s="20"/>
      <c r="AS44" s="104"/>
      <c r="AT44" s="107"/>
      <c r="AU44" s="20"/>
      <c r="AV44" s="20"/>
      <c r="AW44" s="20"/>
      <c r="AX44" s="20"/>
      <c r="AY44" s="104"/>
      <c r="AZ44" s="107"/>
      <c r="BA44" s="20"/>
      <c r="BB44" s="20"/>
      <c r="BC44" s="20"/>
      <c r="BD44" s="20"/>
      <c r="BE44" s="20"/>
      <c r="BF44" s="20"/>
      <c r="BG44" s="20"/>
      <c r="BH44" s="10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 ht="30.0" hidden="1" customHeight="1">
      <c r="A45" s="66"/>
      <c r="B45" s="113"/>
      <c r="C45" s="20"/>
      <c r="D45" s="20"/>
      <c r="E45" s="20"/>
      <c r="F45" s="107"/>
      <c r="G45" s="20"/>
      <c r="H45" s="20"/>
      <c r="I45" s="104"/>
      <c r="J45" s="110"/>
      <c r="K45" s="20"/>
      <c r="L45" s="20"/>
      <c r="M45" s="20"/>
      <c r="N45" s="20"/>
      <c r="O45" s="104"/>
      <c r="P45" s="110"/>
      <c r="Q45" s="20"/>
      <c r="R45" s="20"/>
      <c r="S45" s="20"/>
      <c r="T45" s="20"/>
      <c r="U45" s="104"/>
      <c r="V45" s="107"/>
      <c r="W45" s="20"/>
      <c r="X45" s="20"/>
      <c r="Y45" s="20"/>
      <c r="Z45" s="20"/>
      <c r="AA45" s="104"/>
      <c r="AB45" s="106" t="str">
        <f t="shared" si="4"/>
        <v/>
      </c>
      <c r="AC45" s="20"/>
      <c r="AD45" s="20"/>
      <c r="AE45" s="20"/>
      <c r="AF45" s="20"/>
      <c r="AG45" s="104"/>
      <c r="AH45" s="106" t="str">
        <f t="shared" si="5"/>
        <v/>
      </c>
      <c r="AI45" s="20"/>
      <c r="AJ45" s="20"/>
      <c r="AK45" s="20"/>
      <c r="AL45" s="20"/>
      <c r="AM45" s="104"/>
      <c r="AN45" s="106" t="str">
        <f t="shared" si="6"/>
        <v/>
      </c>
      <c r="AO45" s="20"/>
      <c r="AP45" s="20"/>
      <c r="AQ45" s="20"/>
      <c r="AR45" s="20"/>
      <c r="AS45" s="104"/>
      <c r="AT45" s="107"/>
      <c r="AU45" s="20"/>
      <c r="AV45" s="20"/>
      <c r="AW45" s="20"/>
      <c r="AX45" s="20"/>
      <c r="AY45" s="104"/>
      <c r="AZ45" s="107"/>
      <c r="BA45" s="20"/>
      <c r="BB45" s="20"/>
      <c r="BC45" s="20"/>
      <c r="BD45" s="20"/>
      <c r="BE45" s="20"/>
      <c r="BF45" s="20"/>
      <c r="BG45" s="20"/>
      <c r="BH45" s="10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 ht="30.0" hidden="1" customHeight="1">
      <c r="A46" s="66"/>
      <c r="B46" s="113"/>
      <c r="C46" s="20"/>
      <c r="D46" s="20"/>
      <c r="E46" s="20"/>
      <c r="F46" s="107"/>
      <c r="G46" s="20"/>
      <c r="H46" s="20"/>
      <c r="I46" s="104"/>
      <c r="J46" s="107"/>
      <c r="K46" s="20"/>
      <c r="L46" s="20"/>
      <c r="M46" s="20"/>
      <c r="N46" s="20"/>
      <c r="O46" s="104"/>
      <c r="P46" s="107"/>
      <c r="Q46" s="20"/>
      <c r="R46" s="20"/>
      <c r="S46" s="20"/>
      <c r="T46" s="20"/>
      <c r="U46" s="104"/>
      <c r="V46" s="107"/>
      <c r="W46" s="20"/>
      <c r="X46" s="20"/>
      <c r="Y46" s="20"/>
      <c r="Z46" s="20"/>
      <c r="AA46" s="104"/>
      <c r="AB46" s="106" t="str">
        <f t="shared" si="4"/>
        <v/>
      </c>
      <c r="AC46" s="20"/>
      <c r="AD46" s="20"/>
      <c r="AE46" s="20"/>
      <c r="AF46" s="20"/>
      <c r="AG46" s="104"/>
      <c r="AH46" s="106" t="str">
        <f t="shared" si="5"/>
        <v/>
      </c>
      <c r="AI46" s="20"/>
      <c r="AJ46" s="20"/>
      <c r="AK46" s="20"/>
      <c r="AL46" s="20"/>
      <c r="AM46" s="104"/>
      <c r="AN46" s="106" t="str">
        <f t="shared" si="6"/>
        <v/>
      </c>
      <c r="AO46" s="20"/>
      <c r="AP46" s="20"/>
      <c r="AQ46" s="20"/>
      <c r="AR46" s="20"/>
      <c r="AS46" s="104"/>
      <c r="AT46" s="107"/>
      <c r="AU46" s="20"/>
      <c r="AV46" s="20"/>
      <c r="AW46" s="20"/>
      <c r="AX46" s="20"/>
      <c r="AY46" s="104"/>
      <c r="AZ46" s="107"/>
      <c r="BA46" s="20"/>
      <c r="BB46" s="20"/>
      <c r="BC46" s="20"/>
      <c r="BD46" s="20"/>
      <c r="BE46" s="20"/>
      <c r="BF46" s="20"/>
      <c r="BG46" s="20"/>
      <c r="BH46" s="10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</row>
    <row r="47" ht="30.0" hidden="1" customHeight="1">
      <c r="A47" s="66"/>
      <c r="B47" s="113"/>
      <c r="C47" s="20"/>
      <c r="D47" s="20"/>
      <c r="E47" s="20"/>
      <c r="F47" s="107"/>
      <c r="G47" s="20"/>
      <c r="H47" s="20"/>
      <c r="I47" s="104"/>
      <c r="J47" s="110"/>
      <c r="K47" s="20"/>
      <c r="L47" s="20"/>
      <c r="M47" s="20"/>
      <c r="N47" s="20"/>
      <c r="O47" s="104"/>
      <c r="P47" s="110"/>
      <c r="Q47" s="20"/>
      <c r="R47" s="20"/>
      <c r="S47" s="20"/>
      <c r="T47" s="20"/>
      <c r="U47" s="104"/>
      <c r="V47" s="107"/>
      <c r="W47" s="20"/>
      <c r="X47" s="20"/>
      <c r="Y47" s="20"/>
      <c r="Z47" s="20"/>
      <c r="AA47" s="104"/>
      <c r="AB47" s="106" t="str">
        <f t="shared" si="4"/>
        <v/>
      </c>
      <c r="AC47" s="20"/>
      <c r="AD47" s="20"/>
      <c r="AE47" s="20"/>
      <c r="AF47" s="20"/>
      <c r="AG47" s="104"/>
      <c r="AH47" s="106" t="str">
        <f t="shared" si="5"/>
        <v/>
      </c>
      <c r="AI47" s="20"/>
      <c r="AJ47" s="20"/>
      <c r="AK47" s="20"/>
      <c r="AL47" s="20"/>
      <c r="AM47" s="104"/>
      <c r="AN47" s="106" t="str">
        <f t="shared" si="6"/>
        <v/>
      </c>
      <c r="AO47" s="20"/>
      <c r="AP47" s="20"/>
      <c r="AQ47" s="20"/>
      <c r="AR47" s="20"/>
      <c r="AS47" s="104"/>
      <c r="AT47" s="107"/>
      <c r="AU47" s="20"/>
      <c r="AV47" s="20"/>
      <c r="AW47" s="20"/>
      <c r="AX47" s="20"/>
      <c r="AY47" s="104"/>
      <c r="AZ47" s="107"/>
      <c r="BA47" s="20"/>
      <c r="BB47" s="20"/>
      <c r="BC47" s="20"/>
      <c r="BD47" s="20"/>
      <c r="BE47" s="20"/>
      <c r="BF47" s="20"/>
      <c r="BG47" s="20"/>
      <c r="BH47" s="10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 ht="30.0" hidden="1" customHeight="1">
      <c r="A48" s="112"/>
      <c r="B48" s="113"/>
      <c r="C48" s="20"/>
      <c r="D48" s="20"/>
      <c r="E48" s="20"/>
      <c r="F48" s="107"/>
      <c r="G48" s="20"/>
      <c r="H48" s="20"/>
      <c r="I48" s="104"/>
      <c r="J48" s="107"/>
      <c r="K48" s="20"/>
      <c r="L48" s="20"/>
      <c r="M48" s="20"/>
      <c r="N48" s="20"/>
      <c r="O48" s="104"/>
      <c r="P48" s="107"/>
      <c r="Q48" s="20"/>
      <c r="R48" s="20"/>
      <c r="S48" s="20"/>
      <c r="T48" s="20"/>
      <c r="U48" s="104"/>
      <c r="V48" s="107"/>
      <c r="W48" s="20"/>
      <c r="X48" s="20"/>
      <c r="Y48" s="20"/>
      <c r="Z48" s="20"/>
      <c r="AA48" s="104"/>
      <c r="AB48" s="106" t="str">
        <f t="shared" si="4"/>
        <v/>
      </c>
      <c r="AC48" s="20"/>
      <c r="AD48" s="20"/>
      <c r="AE48" s="20"/>
      <c r="AF48" s="20"/>
      <c r="AG48" s="104"/>
      <c r="AH48" s="106" t="str">
        <f t="shared" si="5"/>
        <v/>
      </c>
      <c r="AI48" s="20"/>
      <c r="AJ48" s="20"/>
      <c r="AK48" s="20"/>
      <c r="AL48" s="20"/>
      <c r="AM48" s="104"/>
      <c r="AN48" s="106" t="str">
        <f t="shared" si="6"/>
        <v/>
      </c>
      <c r="AO48" s="20"/>
      <c r="AP48" s="20"/>
      <c r="AQ48" s="20"/>
      <c r="AR48" s="20"/>
      <c r="AS48" s="104"/>
      <c r="AT48" s="107"/>
      <c r="AU48" s="20"/>
      <c r="AV48" s="20"/>
      <c r="AW48" s="20"/>
      <c r="AX48" s="20"/>
      <c r="AY48" s="104"/>
      <c r="AZ48" s="107"/>
      <c r="BA48" s="20"/>
      <c r="BB48" s="20"/>
      <c r="BC48" s="20"/>
      <c r="BD48" s="20"/>
      <c r="BE48" s="20"/>
      <c r="BF48" s="20"/>
      <c r="BG48" s="20"/>
      <c r="BH48" s="10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 ht="30.0" hidden="1" customHeight="1">
      <c r="A49" s="66"/>
      <c r="B49" s="113"/>
      <c r="C49" s="20"/>
      <c r="D49" s="20"/>
      <c r="E49" s="20"/>
      <c r="F49" s="107"/>
      <c r="G49" s="20"/>
      <c r="H49" s="20"/>
      <c r="I49" s="104"/>
      <c r="J49" s="110"/>
      <c r="K49" s="20"/>
      <c r="L49" s="20"/>
      <c r="M49" s="20"/>
      <c r="N49" s="20"/>
      <c r="O49" s="104"/>
      <c r="P49" s="110"/>
      <c r="Q49" s="20"/>
      <c r="R49" s="20"/>
      <c r="S49" s="20"/>
      <c r="T49" s="20"/>
      <c r="U49" s="104"/>
      <c r="V49" s="107"/>
      <c r="W49" s="20"/>
      <c r="X49" s="20"/>
      <c r="Y49" s="20"/>
      <c r="Z49" s="20"/>
      <c r="AA49" s="104"/>
      <c r="AB49" s="106" t="str">
        <f t="shared" si="4"/>
        <v/>
      </c>
      <c r="AC49" s="20"/>
      <c r="AD49" s="20"/>
      <c r="AE49" s="20"/>
      <c r="AF49" s="20"/>
      <c r="AG49" s="104"/>
      <c r="AH49" s="106" t="str">
        <f t="shared" si="5"/>
        <v/>
      </c>
      <c r="AI49" s="20"/>
      <c r="AJ49" s="20"/>
      <c r="AK49" s="20"/>
      <c r="AL49" s="20"/>
      <c r="AM49" s="104"/>
      <c r="AN49" s="106" t="str">
        <f t="shared" si="6"/>
        <v/>
      </c>
      <c r="AO49" s="20"/>
      <c r="AP49" s="20"/>
      <c r="AQ49" s="20"/>
      <c r="AR49" s="20"/>
      <c r="AS49" s="104"/>
      <c r="AT49" s="107"/>
      <c r="AU49" s="20"/>
      <c r="AV49" s="20"/>
      <c r="AW49" s="20"/>
      <c r="AX49" s="20"/>
      <c r="AY49" s="104"/>
      <c r="AZ49" s="107"/>
      <c r="BA49" s="20"/>
      <c r="BB49" s="20"/>
      <c r="BC49" s="20"/>
      <c r="BD49" s="20"/>
      <c r="BE49" s="20"/>
      <c r="BF49" s="20"/>
      <c r="BG49" s="20"/>
      <c r="BH49" s="10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 ht="30.0" hidden="1" customHeight="1">
      <c r="A50" s="112"/>
      <c r="B50" s="113"/>
      <c r="C50" s="20"/>
      <c r="D50" s="20"/>
      <c r="E50" s="20"/>
      <c r="F50" s="107"/>
      <c r="G50" s="20"/>
      <c r="H50" s="20"/>
      <c r="I50" s="104"/>
      <c r="J50" s="107"/>
      <c r="K50" s="20"/>
      <c r="L50" s="20"/>
      <c r="M50" s="20"/>
      <c r="N50" s="20"/>
      <c r="O50" s="104"/>
      <c r="P50" s="107"/>
      <c r="Q50" s="20"/>
      <c r="R50" s="20"/>
      <c r="S50" s="20"/>
      <c r="T50" s="20"/>
      <c r="U50" s="104"/>
      <c r="V50" s="107"/>
      <c r="W50" s="20"/>
      <c r="X50" s="20"/>
      <c r="Y50" s="20"/>
      <c r="Z50" s="20"/>
      <c r="AA50" s="104"/>
      <c r="AB50" s="106" t="str">
        <f t="shared" si="4"/>
        <v/>
      </c>
      <c r="AC50" s="20"/>
      <c r="AD50" s="20"/>
      <c r="AE50" s="20"/>
      <c r="AF50" s="20"/>
      <c r="AG50" s="104"/>
      <c r="AH50" s="106" t="str">
        <f t="shared" si="5"/>
        <v/>
      </c>
      <c r="AI50" s="20"/>
      <c r="AJ50" s="20"/>
      <c r="AK50" s="20"/>
      <c r="AL50" s="20"/>
      <c r="AM50" s="104"/>
      <c r="AN50" s="106" t="str">
        <f t="shared" si="6"/>
        <v/>
      </c>
      <c r="AO50" s="20"/>
      <c r="AP50" s="20"/>
      <c r="AQ50" s="20"/>
      <c r="AR50" s="20"/>
      <c r="AS50" s="104"/>
      <c r="AT50" s="107"/>
      <c r="AU50" s="20"/>
      <c r="AV50" s="20"/>
      <c r="AW50" s="20"/>
      <c r="AX50" s="20"/>
      <c r="AY50" s="104"/>
      <c r="AZ50" s="107"/>
      <c r="BA50" s="20"/>
      <c r="BB50" s="20"/>
      <c r="BC50" s="20"/>
      <c r="BD50" s="20"/>
      <c r="BE50" s="20"/>
      <c r="BF50" s="20"/>
      <c r="BG50" s="20"/>
      <c r="BH50" s="10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 ht="30.0" hidden="1" customHeight="1">
      <c r="A51" s="66"/>
      <c r="B51" s="113"/>
      <c r="C51" s="20"/>
      <c r="D51" s="20"/>
      <c r="E51" s="20"/>
      <c r="F51" s="107"/>
      <c r="G51" s="20"/>
      <c r="H51" s="20"/>
      <c r="I51" s="104"/>
      <c r="J51" s="110"/>
      <c r="K51" s="20"/>
      <c r="L51" s="20"/>
      <c r="M51" s="20"/>
      <c r="N51" s="20"/>
      <c r="O51" s="104"/>
      <c r="P51" s="110"/>
      <c r="Q51" s="20"/>
      <c r="R51" s="20"/>
      <c r="S51" s="20"/>
      <c r="T51" s="20"/>
      <c r="U51" s="104"/>
      <c r="V51" s="107"/>
      <c r="W51" s="20"/>
      <c r="X51" s="20"/>
      <c r="Y51" s="20"/>
      <c r="Z51" s="20"/>
      <c r="AA51" s="104"/>
      <c r="AB51" s="106" t="str">
        <f t="shared" si="4"/>
        <v/>
      </c>
      <c r="AC51" s="20"/>
      <c r="AD51" s="20"/>
      <c r="AE51" s="20"/>
      <c r="AF51" s="20"/>
      <c r="AG51" s="104"/>
      <c r="AH51" s="106" t="str">
        <f t="shared" si="5"/>
        <v/>
      </c>
      <c r="AI51" s="20"/>
      <c r="AJ51" s="20"/>
      <c r="AK51" s="20"/>
      <c r="AL51" s="20"/>
      <c r="AM51" s="104"/>
      <c r="AN51" s="106" t="str">
        <f t="shared" si="6"/>
        <v/>
      </c>
      <c r="AO51" s="20"/>
      <c r="AP51" s="20"/>
      <c r="AQ51" s="20"/>
      <c r="AR51" s="20"/>
      <c r="AS51" s="104"/>
      <c r="AT51" s="107"/>
      <c r="AU51" s="20"/>
      <c r="AV51" s="20"/>
      <c r="AW51" s="20"/>
      <c r="AX51" s="20"/>
      <c r="AY51" s="104"/>
      <c r="AZ51" s="107"/>
      <c r="BA51" s="20"/>
      <c r="BB51" s="20"/>
      <c r="BC51" s="20"/>
      <c r="BD51" s="20"/>
      <c r="BE51" s="20"/>
      <c r="BF51" s="20"/>
      <c r="BG51" s="20"/>
      <c r="BH51" s="10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 ht="30.0" hidden="1" customHeight="1">
      <c r="A52" s="66"/>
      <c r="B52" s="113"/>
      <c r="C52" s="20"/>
      <c r="D52" s="20"/>
      <c r="E52" s="20"/>
      <c r="F52" s="107"/>
      <c r="G52" s="20"/>
      <c r="H52" s="20"/>
      <c r="I52" s="104"/>
      <c r="J52" s="107"/>
      <c r="K52" s="20"/>
      <c r="L52" s="20"/>
      <c r="M52" s="20"/>
      <c r="N52" s="20"/>
      <c r="O52" s="104"/>
      <c r="P52" s="107"/>
      <c r="Q52" s="20"/>
      <c r="R52" s="20"/>
      <c r="S52" s="20"/>
      <c r="T52" s="20"/>
      <c r="U52" s="104"/>
      <c r="V52" s="107"/>
      <c r="W52" s="20"/>
      <c r="X52" s="20"/>
      <c r="Y52" s="20"/>
      <c r="Z52" s="20"/>
      <c r="AA52" s="104"/>
      <c r="AB52" s="106" t="str">
        <f t="shared" si="4"/>
        <v/>
      </c>
      <c r="AC52" s="20"/>
      <c r="AD52" s="20"/>
      <c r="AE52" s="20"/>
      <c r="AF52" s="20"/>
      <c r="AG52" s="104"/>
      <c r="AH52" s="106" t="str">
        <f t="shared" si="5"/>
        <v/>
      </c>
      <c r="AI52" s="20"/>
      <c r="AJ52" s="20"/>
      <c r="AK52" s="20"/>
      <c r="AL52" s="20"/>
      <c r="AM52" s="104"/>
      <c r="AN52" s="106" t="str">
        <f t="shared" si="6"/>
        <v/>
      </c>
      <c r="AO52" s="20"/>
      <c r="AP52" s="20"/>
      <c r="AQ52" s="20"/>
      <c r="AR52" s="20"/>
      <c r="AS52" s="104"/>
      <c r="AT52" s="107"/>
      <c r="AU52" s="20"/>
      <c r="AV52" s="20"/>
      <c r="AW52" s="20"/>
      <c r="AX52" s="20"/>
      <c r="AY52" s="104"/>
      <c r="AZ52" s="107"/>
      <c r="BA52" s="20"/>
      <c r="BB52" s="20"/>
      <c r="BC52" s="20"/>
      <c r="BD52" s="20"/>
      <c r="BE52" s="20"/>
      <c r="BF52" s="20"/>
      <c r="BG52" s="20"/>
      <c r="BH52" s="10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 ht="30.0" hidden="1" customHeight="1">
      <c r="A53" s="66"/>
      <c r="B53" s="113"/>
      <c r="C53" s="20"/>
      <c r="D53" s="20"/>
      <c r="E53" s="20"/>
      <c r="F53" s="107"/>
      <c r="G53" s="20"/>
      <c r="H53" s="20"/>
      <c r="I53" s="104"/>
      <c r="J53" s="110"/>
      <c r="K53" s="20"/>
      <c r="L53" s="20"/>
      <c r="M53" s="20"/>
      <c r="N53" s="20"/>
      <c r="O53" s="104"/>
      <c r="P53" s="110"/>
      <c r="Q53" s="20"/>
      <c r="R53" s="20"/>
      <c r="S53" s="20"/>
      <c r="T53" s="20"/>
      <c r="U53" s="104"/>
      <c r="V53" s="107"/>
      <c r="W53" s="20"/>
      <c r="X53" s="20"/>
      <c r="Y53" s="20"/>
      <c r="Z53" s="20"/>
      <c r="AA53" s="104"/>
      <c r="AB53" s="106" t="str">
        <f t="shared" si="4"/>
        <v/>
      </c>
      <c r="AC53" s="20"/>
      <c r="AD53" s="20"/>
      <c r="AE53" s="20"/>
      <c r="AF53" s="20"/>
      <c r="AG53" s="104"/>
      <c r="AH53" s="106" t="str">
        <f t="shared" si="5"/>
        <v/>
      </c>
      <c r="AI53" s="20"/>
      <c r="AJ53" s="20"/>
      <c r="AK53" s="20"/>
      <c r="AL53" s="20"/>
      <c r="AM53" s="104"/>
      <c r="AN53" s="106" t="str">
        <f t="shared" si="6"/>
        <v/>
      </c>
      <c r="AO53" s="20"/>
      <c r="AP53" s="20"/>
      <c r="AQ53" s="20"/>
      <c r="AR53" s="20"/>
      <c r="AS53" s="104"/>
      <c r="AT53" s="107"/>
      <c r="AU53" s="20"/>
      <c r="AV53" s="20"/>
      <c r="AW53" s="20"/>
      <c r="AX53" s="20"/>
      <c r="AY53" s="104"/>
      <c r="AZ53" s="107"/>
      <c r="BA53" s="20"/>
      <c r="BB53" s="20"/>
      <c r="BC53" s="20"/>
      <c r="BD53" s="20"/>
      <c r="BE53" s="20"/>
      <c r="BF53" s="20"/>
      <c r="BG53" s="20"/>
      <c r="BH53" s="10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 ht="30.0" hidden="1" customHeight="1">
      <c r="A54" s="66"/>
      <c r="B54" s="113"/>
      <c r="C54" s="20"/>
      <c r="D54" s="20"/>
      <c r="E54" s="20"/>
      <c r="F54" s="107"/>
      <c r="G54" s="20"/>
      <c r="H54" s="20"/>
      <c r="I54" s="104"/>
      <c r="J54" s="107"/>
      <c r="K54" s="20"/>
      <c r="L54" s="20"/>
      <c r="M54" s="20"/>
      <c r="N54" s="20"/>
      <c r="O54" s="104"/>
      <c r="P54" s="107"/>
      <c r="Q54" s="20"/>
      <c r="R54" s="20"/>
      <c r="S54" s="20"/>
      <c r="T54" s="20"/>
      <c r="U54" s="104"/>
      <c r="V54" s="107"/>
      <c r="W54" s="20"/>
      <c r="X54" s="20"/>
      <c r="Y54" s="20"/>
      <c r="Z54" s="20"/>
      <c r="AA54" s="104"/>
      <c r="AB54" s="106" t="str">
        <f t="shared" si="4"/>
        <v/>
      </c>
      <c r="AC54" s="20"/>
      <c r="AD54" s="20"/>
      <c r="AE54" s="20"/>
      <c r="AF54" s="20"/>
      <c r="AG54" s="104"/>
      <c r="AH54" s="106" t="str">
        <f t="shared" si="5"/>
        <v/>
      </c>
      <c r="AI54" s="20"/>
      <c r="AJ54" s="20"/>
      <c r="AK54" s="20"/>
      <c r="AL54" s="20"/>
      <c r="AM54" s="104"/>
      <c r="AN54" s="106" t="str">
        <f t="shared" si="6"/>
        <v/>
      </c>
      <c r="AO54" s="20"/>
      <c r="AP54" s="20"/>
      <c r="AQ54" s="20"/>
      <c r="AR54" s="20"/>
      <c r="AS54" s="104"/>
      <c r="AT54" s="107"/>
      <c r="AU54" s="20"/>
      <c r="AV54" s="20"/>
      <c r="AW54" s="20"/>
      <c r="AX54" s="20"/>
      <c r="AY54" s="104"/>
      <c r="AZ54" s="107"/>
      <c r="BA54" s="20"/>
      <c r="BB54" s="20"/>
      <c r="BC54" s="20"/>
      <c r="BD54" s="20"/>
      <c r="BE54" s="20"/>
      <c r="BF54" s="20"/>
      <c r="BG54" s="20"/>
      <c r="BH54" s="10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 ht="30.0" hidden="1" customHeight="1">
      <c r="A55" s="66"/>
      <c r="B55" s="113"/>
      <c r="C55" s="20"/>
      <c r="D55" s="20"/>
      <c r="E55" s="20"/>
      <c r="F55" s="107"/>
      <c r="G55" s="20"/>
      <c r="H55" s="20"/>
      <c r="I55" s="104"/>
      <c r="J55" s="110"/>
      <c r="K55" s="20"/>
      <c r="L55" s="20"/>
      <c r="M55" s="20"/>
      <c r="N55" s="20"/>
      <c r="O55" s="104"/>
      <c r="P55" s="110"/>
      <c r="Q55" s="20"/>
      <c r="R55" s="20"/>
      <c r="S55" s="20"/>
      <c r="T55" s="20"/>
      <c r="U55" s="104"/>
      <c r="V55" s="107"/>
      <c r="W55" s="20"/>
      <c r="X55" s="20"/>
      <c r="Y55" s="20"/>
      <c r="Z55" s="20"/>
      <c r="AA55" s="104"/>
      <c r="AB55" s="106" t="str">
        <f t="shared" si="4"/>
        <v/>
      </c>
      <c r="AC55" s="20"/>
      <c r="AD55" s="20"/>
      <c r="AE55" s="20"/>
      <c r="AF55" s="20"/>
      <c r="AG55" s="104"/>
      <c r="AH55" s="106" t="str">
        <f t="shared" si="5"/>
        <v/>
      </c>
      <c r="AI55" s="20"/>
      <c r="AJ55" s="20"/>
      <c r="AK55" s="20"/>
      <c r="AL55" s="20"/>
      <c r="AM55" s="104"/>
      <c r="AN55" s="106" t="str">
        <f t="shared" si="6"/>
        <v/>
      </c>
      <c r="AO55" s="20"/>
      <c r="AP55" s="20"/>
      <c r="AQ55" s="20"/>
      <c r="AR55" s="20"/>
      <c r="AS55" s="104"/>
      <c r="AT55" s="107"/>
      <c r="AU55" s="20"/>
      <c r="AV55" s="20"/>
      <c r="AW55" s="20"/>
      <c r="AX55" s="20"/>
      <c r="AY55" s="104"/>
      <c r="AZ55" s="107"/>
      <c r="BA55" s="20"/>
      <c r="BB55" s="20"/>
      <c r="BC55" s="20"/>
      <c r="BD55" s="20"/>
      <c r="BE55" s="20"/>
      <c r="BF55" s="20"/>
      <c r="BG55" s="20"/>
      <c r="BH55" s="10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 ht="30.0" hidden="1" customHeight="1">
      <c r="A56" s="66"/>
      <c r="B56" s="113"/>
      <c r="C56" s="20"/>
      <c r="D56" s="20"/>
      <c r="E56" s="20"/>
      <c r="F56" s="107"/>
      <c r="G56" s="20"/>
      <c r="H56" s="20"/>
      <c r="I56" s="104"/>
      <c r="J56" s="107"/>
      <c r="K56" s="20"/>
      <c r="L56" s="20"/>
      <c r="M56" s="20"/>
      <c r="N56" s="20"/>
      <c r="O56" s="104"/>
      <c r="P56" s="107"/>
      <c r="Q56" s="20"/>
      <c r="R56" s="20"/>
      <c r="S56" s="20"/>
      <c r="T56" s="20"/>
      <c r="U56" s="104"/>
      <c r="V56" s="107"/>
      <c r="W56" s="20"/>
      <c r="X56" s="20"/>
      <c r="Y56" s="20"/>
      <c r="Z56" s="20"/>
      <c r="AA56" s="104"/>
      <c r="AB56" s="106" t="str">
        <f t="shared" si="4"/>
        <v/>
      </c>
      <c r="AC56" s="20"/>
      <c r="AD56" s="20"/>
      <c r="AE56" s="20"/>
      <c r="AF56" s="20"/>
      <c r="AG56" s="104"/>
      <c r="AH56" s="106" t="str">
        <f t="shared" si="5"/>
        <v/>
      </c>
      <c r="AI56" s="20"/>
      <c r="AJ56" s="20"/>
      <c r="AK56" s="20"/>
      <c r="AL56" s="20"/>
      <c r="AM56" s="104"/>
      <c r="AN56" s="106" t="str">
        <f t="shared" si="6"/>
        <v/>
      </c>
      <c r="AO56" s="20"/>
      <c r="AP56" s="20"/>
      <c r="AQ56" s="20"/>
      <c r="AR56" s="20"/>
      <c r="AS56" s="104"/>
      <c r="AT56" s="107"/>
      <c r="AU56" s="20"/>
      <c r="AV56" s="20"/>
      <c r="AW56" s="20"/>
      <c r="AX56" s="20"/>
      <c r="AY56" s="104"/>
      <c r="AZ56" s="107"/>
      <c r="BA56" s="20"/>
      <c r="BB56" s="20"/>
      <c r="BC56" s="20"/>
      <c r="BD56" s="20"/>
      <c r="BE56" s="20"/>
      <c r="BF56" s="20"/>
      <c r="BG56" s="20"/>
      <c r="BH56" s="10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 ht="30.0" hidden="1" customHeight="1">
      <c r="A57" s="66"/>
      <c r="B57" s="113"/>
      <c r="C57" s="20"/>
      <c r="D57" s="20"/>
      <c r="E57" s="20"/>
      <c r="F57" s="107"/>
      <c r="G57" s="20"/>
      <c r="H57" s="20"/>
      <c r="I57" s="104"/>
      <c r="J57" s="110"/>
      <c r="K57" s="20"/>
      <c r="L57" s="20"/>
      <c r="M57" s="20"/>
      <c r="N57" s="20"/>
      <c r="O57" s="104"/>
      <c r="P57" s="110"/>
      <c r="Q57" s="20"/>
      <c r="R57" s="20"/>
      <c r="S57" s="20"/>
      <c r="T57" s="20"/>
      <c r="U57" s="104"/>
      <c r="V57" s="107"/>
      <c r="W57" s="20"/>
      <c r="X57" s="20"/>
      <c r="Y57" s="20"/>
      <c r="Z57" s="20"/>
      <c r="AA57" s="104"/>
      <c r="AB57" s="106" t="str">
        <f t="shared" si="4"/>
        <v/>
      </c>
      <c r="AC57" s="20"/>
      <c r="AD57" s="20"/>
      <c r="AE57" s="20"/>
      <c r="AF57" s="20"/>
      <c r="AG57" s="104"/>
      <c r="AH57" s="106" t="str">
        <f t="shared" si="5"/>
        <v/>
      </c>
      <c r="AI57" s="20"/>
      <c r="AJ57" s="20"/>
      <c r="AK57" s="20"/>
      <c r="AL57" s="20"/>
      <c r="AM57" s="104"/>
      <c r="AN57" s="106" t="str">
        <f t="shared" si="6"/>
        <v/>
      </c>
      <c r="AO57" s="20"/>
      <c r="AP57" s="20"/>
      <c r="AQ57" s="20"/>
      <c r="AR57" s="20"/>
      <c r="AS57" s="104"/>
      <c r="AT57" s="107"/>
      <c r="AU57" s="20"/>
      <c r="AV57" s="20"/>
      <c r="AW57" s="20"/>
      <c r="AX57" s="20"/>
      <c r="AY57" s="104"/>
      <c r="AZ57" s="107"/>
      <c r="BA57" s="20"/>
      <c r="BB57" s="20"/>
      <c r="BC57" s="20"/>
      <c r="BD57" s="20"/>
      <c r="BE57" s="20"/>
      <c r="BF57" s="20"/>
      <c r="BG57" s="20"/>
      <c r="BH57" s="10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 ht="30.0" hidden="1" customHeight="1">
      <c r="A58" s="66"/>
      <c r="B58" s="113"/>
      <c r="C58" s="20"/>
      <c r="D58" s="20"/>
      <c r="E58" s="20"/>
      <c r="F58" s="107"/>
      <c r="G58" s="20"/>
      <c r="H58" s="20"/>
      <c r="I58" s="104"/>
      <c r="J58" s="110"/>
      <c r="K58" s="20"/>
      <c r="L58" s="20"/>
      <c r="M58" s="20"/>
      <c r="N58" s="20"/>
      <c r="O58" s="104"/>
      <c r="P58" s="110"/>
      <c r="Q58" s="20"/>
      <c r="R58" s="20"/>
      <c r="S58" s="20"/>
      <c r="T58" s="20"/>
      <c r="U58" s="104"/>
      <c r="V58" s="107"/>
      <c r="W58" s="20"/>
      <c r="X58" s="20"/>
      <c r="Y58" s="20"/>
      <c r="Z58" s="20"/>
      <c r="AA58" s="104"/>
      <c r="AB58" s="106" t="str">
        <f t="shared" si="4"/>
        <v/>
      </c>
      <c r="AC58" s="20"/>
      <c r="AD58" s="20"/>
      <c r="AE58" s="20"/>
      <c r="AF58" s="20"/>
      <c r="AG58" s="104"/>
      <c r="AH58" s="106" t="str">
        <f t="shared" si="5"/>
        <v/>
      </c>
      <c r="AI58" s="20"/>
      <c r="AJ58" s="20"/>
      <c r="AK58" s="20"/>
      <c r="AL58" s="20"/>
      <c r="AM58" s="104"/>
      <c r="AN58" s="106" t="str">
        <f t="shared" si="6"/>
        <v/>
      </c>
      <c r="AO58" s="20"/>
      <c r="AP58" s="20"/>
      <c r="AQ58" s="20"/>
      <c r="AR58" s="20"/>
      <c r="AS58" s="104"/>
      <c r="AT58" s="107"/>
      <c r="AU58" s="20"/>
      <c r="AV58" s="20"/>
      <c r="AW58" s="20"/>
      <c r="AX58" s="20"/>
      <c r="AY58" s="104"/>
      <c r="AZ58" s="107"/>
      <c r="BA58" s="20"/>
      <c r="BB58" s="20"/>
      <c r="BC58" s="20"/>
      <c r="BD58" s="20"/>
      <c r="BE58" s="20"/>
      <c r="BF58" s="20"/>
      <c r="BG58" s="20"/>
      <c r="BH58" s="10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 ht="31.5" hidden="1" customHeight="1">
      <c r="A59" s="66"/>
      <c r="B59" s="114" t="s">
        <v>90</v>
      </c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6"/>
      <c r="AB59" s="117"/>
      <c r="AC59" s="115"/>
      <c r="AD59" s="115"/>
      <c r="AE59" s="115"/>
      <c r="AF59" s="115"/>
      <c r="AG59" s="116"/>
      <c r="AH59" s="117"/>
      <c r="AI59" s="115"/>
      <c r="AJ59" s="115"/>
      <c r="AK59" s="115"/>
      <c r="AL59" s="115"/>
      <c r="AM59" s="116"/>
      <c r="AN59" s="117"/>
      <c r="AO59" s="115"/>
      <c r="AP59" s="115"/>
      <c r="AQ59" s="115"/>
      <c r="AR59" s="115"/>
      <c r="AS59" s="116"/>
      <c r="AT59" s="118"/>
      <c r="AU59" s="115"/>
      <c r="AV59" s="115"/>
      <c r="AW59" s="115"/>
      <c r="AX59" s="115"/>
      <c r="AY59" s="116"/>
      <c r="AZ59" s="119"/>
      <c r="BA59" s="115"/>
      <c r="BB59" s="115"/>
      <c r="BC59" s="115"/>
      <c r="BD59" s="115"/>
      <c r="BE59" s="115"/>
      <c r="BF59" s="115"/>
      <c r="BG59" s="115"/>
      <c r="BH59" s="120"/>
      <c r="BI59" s="131"/>
      <c r="BJ59" s="131"/>
      <c r="BK59" s="131"/>
      <c r="BL59" s="131"/>
      <c r="BM59" s="131"/>
      <c r="BN59" s="131"/>
      <c r="BO59" s="131"/>
      <c r="BP59" s="131"/>
      <c r="BQ59" s="131"/>
      <c r="BR59" s="131"/>
      <c r="BS59" s="131"/>
      <c r="BT59" s="131"/>
      <c r="BU59" s="131"/>
      <c r="BV59" s="131"/>
      <c r="BW59" s="131"/>
    </row>
    <row r="60" ht="10.5" hidden="1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5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</row>
    <row r="61" ht="21.75" hidden="1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132">
        <v>3.0</v>
      </c>
      <c r="AX61" s="20"/>
      <c r="AY61" s="104"/>
      <c r="AZ61" s="133" t="s">
        <v>91</v>
      </c>
      <c r="BA61" s="20"/>
      <c r="BB61" s="104"/>
      <c r="BC61" s="133">
        <v>2.0</v>
      </c>
      <c r="BD61" s="20"/>
      <c r="BE61" s="104"/>
      <c r="BF61" s="133" t="s">
        <v>92</v>
      </c>
      <c r="BG61" s="20"/>
      <c r="BH61" s="104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</row>
    <row r="62" ht="52.5" hidden="1" customHeight="1">
      <c r="A62" s="66"/>
      <c r="B62" s="66"/>
      <c r="C62" s="66"/>
      <c r="D62" s="67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6"/>
      <c r="P62" s="66"/>
      <c r="Q62" s="66"/>
      <c r="R62" s="66"/>
      <c r="S62" s="69" t="s">
        <v>75</v>
      </c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</row>
    <row r="63" ht="15.75" hidden="1" customHeight="1">
      <c r="A63" s="66"/>
      <c r="B63" s="70" t="s">
        <v>76</v>
      </c>
      <c r="C63" s="71"/>
      <c r="D63" s="71"/>
      <c r="E63" s="71"/>
      <c r="F63" s="71"/>
      <c r="G63" s="72"/>
      <c r="H63" s="137">
        <v>3980.0</v>
      </c>
      <c r="I63" s="71"/>
      <c r="J63" s="71"/>
      <c r="K63" s="71"/>
      <c r="L63" s="71"/>
      <c r="M63" s="71"/>
      <c r="N63" s="71"/>
      <c r="O63" s="71"/>
      <c r="P63" s="71"/>
      <c r="Q63" s="72"/>
      <c r="R63" s="74" t="s">
        <v>77</v>
      </c>
      <c r="S63" s="71"/>
      <c r="T63" s="71"/>
      <c r="U63" s="71"/>
      <c r="V63" s="71"/>
      <c r="W63" s="71"/>
      <c r="X63" s="71"/>
      <c r="Y63" s="71"/>
      <c r="Z63" s="71"/>
      <c r="AA63" s="71"/>
      <c r="AB63" s="72"/>
      <c r="AC63" s="75" t="s">
        <v>97</v>
      </c>
      <c r="AD63" s="71"/>
      <c r="AE63" s="71"/>
      <c r="AF63" s="71"/>
      <c r="AG63" s="71"/>
      <c r="AH63" s="71"/>
      <c r="AI63" s="71"/>
      <c r="AJ63" s="71"/>
      <c r="AK63" s="71"/>
      <c r="AL63" s="71"/>
      <c r="AM63" s="72"/>
      <c r="AN63" s="76" t="s">
        <v>78</v>
      </c>
      <c r="AO63" s="71"/>
      <c r="AP63" s="71"/>
      <c r="AQ63" s="71"/>
      <c r="AR63" s="71"/>
      <c r="AS63" s="71"/>
      <c r="AT63" s="72"/>
      <c r="AU63" s="77" t="s">
        <v>79</v>
      </c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8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</row>
    <row r="64" ht="15.75" hidden="1" customHeight="1">
      <c r="A64" s="66"/>
      <c r="B64" s="80"/>
      <c r="C64" s="17"/>
      <c r="D64" s="17"/>
      <c r="E64" s="17"/>
      <c r="F64" s="17"/>
      <c r="G64" s="26"/>
      <c r="H64" s="25"/>
      <c r="I64" s="17"/>
      <c r="J64" s="17"/>
      <c r="K64" s="17"/>
      <c r="L64" s="17"/>
      <c r="M64" s="17"/>
      <c r="N64" s="17"/>
      <c r="O64" s="17"/>
      <c r="P64" s="17"/>
      <c r="Q64" s="26"/>
      <c r="R64" s="25"/>
      <c r="S64" s="17"/>
      <c r="T64" s="17"/>
      <c r="U64" s="17"/>
      <c r="V64" s="17"/>
      <c r="W64" s="17"/>
      <c r="X64" s="17"/>
      <c r="Y64" s="17"/>
      <c r="Z64" s="17"/>
      <c r="AA64" s="17"/>
      <c r="AB64" s="26"/>
      <c r="AC64" s="25"/>
      <c r="AD64" s="17"/>
      <c r="AE64" s="17"/>
      <c r="AF64" s="17"/>
      <c r="AG64" s="17"/>
      <c r="AH64" s="17"/>
      <c r="AI64" s="17"/>
      <c r="AJ64" s="17"/>
      <c r="AK64" s="17"/>
      <c r="AL64" s="17"/>
      <c r="AM64" s="26"/>
      <c r="AN64" s="81"/>
      <c r="AT64" s="49"/>
      <c r="AU64" s="81"/>
      <c r="BH64" s="82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</row>
    <row r="65" ht="15.75" hidden="1" customHeight="1">
      <c r="A65" s="66"/>
      <c r="B65" s="125" t="s">
        <v>80</v>
      </c>
      <c r="C65" s="22"/>
      <c r="D65" s="22"/>
      <c r="E65" s="22"/>
      <c r="F65" s="22"/>
      <c r="G65" s="84"/>
      <c r="H65" s="138" t="s">
        <v>33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84"/>
      <c r="AN65" s="81"/>
      <c r="AT65" s="49"/>
      <c r="AU65" s="81"/>
      <c r="BH65" s="82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</row>
    <row r="66" ht="9.0" hidden="1" customHeight="1">
      <c r="A66" s="66"/>
      <c r="B66" s="86"/>
      <c r="G66" s="49"/>
      <c r="H66" s="81"/>
      <c r="AM66" s="49"/>
      <c r="AN66" s="81"/>
      <c r="AT66" s="49"/>
      <c r="AU66" s="81"/>
      <c r="BH66" s="82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</row>
    <row r="67" ht="5.25" hidden="1" customHeight="1">
      <c r="A67" s="66"/>
      <c r="B67" s="87"/>
      <c r="C67" s="68"/>
      <c r="D67" s="68"/>
      <c r="E67" s="68"/>
      <c r="F67" s="68"/>
      <c r="G67" s="88"/>
      <c r="H67" s="89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88"/>
      <c r="AN67" s="89"/>
      <c r="AO67" s="68"/>
      <c r="AP67" s="68"/>
      <c r="AQ67" s="68"/>
      <c r="AR67" s="68"/>
      <c r="AS67" s="68"/>
      <c r="AT67" s="88"/>
      <c r="AU67" s="89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90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</row>
    <row r="68" ht="15.75" hidden="1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</row>
    <row r="69" ht="15.75" hidden="1" customHeight="1">
      <c r="A69" s="66"/>
      <c r="B69" s="126" t="s">
        <v>81</v>
      </c>
      <c r="C69" s="71"/>
      <c r="D69" s="71"/>
      <c r="E69" s="72"/>
      <c r="F69" s="127" t="s">
        <v>82</v>
      </c>
      <c r="G69" s="71"/>
      <c r="H69" s="71"/>
      <c r="I69" s="72"/>
      <c r="J69" s="128" t="s">
        <v>83</v>
      </c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5"/>
      <c r="V69" s="129" t="s">
        <v>93</v>
      </c>
      <c r="W69" s="71"/>
      <c r="X69" s="71"/>
      <c r="Y69" s="71"/>
      <c r="Z69" s="71"/>
      <c r="AA69" s="72"/>
      <c r="AB69" s="97" t="s">
        <v>85</v>
      </c>
      <c r="AC69" s="71"/>
      <c r="AD69" s="71"/>
      <c r="AE69" s="71"/>
      <c r="AF69" s="71"/>
      <c r="AG69" s="72"/>
      <c r="AH69" s="98" t="s">
        <v>46</v>
      </c>
      <c r="AI69" s="71"/>
      <c r="AJ69" s="71"/>
      <c r="AK69" s="71"/>
      <c r="AL69" s="71"/>
      <c r="AM69" s="72"/>
      <c r="AN69" s="96" t="s">
        <v>86</v>
      </c>
      <c r="AO69" s="71"/>
      <c r="AP69" s="71"/>
      <c r="AQ69" s="71"/>
      <c r="AR69" s="71"/>
      <c r="AS69" s="72"/>
      <c r="AT69" s="96" t="s">
        <v>87</v>
      </c>
      <c r="AU69" s="71"/>
      <c r="AV69" s="71"/>
      <c r="AW69" s="71"/>
      <c r="AX69" s="71"/>
      <c r="AY69" s="72"/>
      <c r="AZ69" s="99"/>
      <c r="BA69" s="71"/>
      <c r="BB69" s="71"/>
      <c r="BC69" s="71"/>
      <c r="BD69" s="71"/>
      <c r="BE69" s="71"/>
      <c r="BF69" s="71"/>
      <c r="BG69" s="71"/>
      <c r="BH69" s="78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75" hidden="1" customHeight="1">
      <c r="A70" s="66"/>
      <c r="B70" s="86"/>
      <c r="E70" s="49"/>
      <c r="F70" s="81"/>
      <c r="I70" s="49"/>
      <c r="J70" s="130" t="s">
        <v>94</v>
      </c>
      <c r="K70" s="22"/>
      <c r="L70" s="22"/>
      <c r="M70" s="22"/>
      <c r="N70" s="22"/>
      <c r="O70" s="84"/>
      <c r="P70" s="130" t="s">
        <v>95</v>
      </c>
      <c r="Q70" s="22"/>
      <c r="R70" s="22"/>
      <c r="S70" s="22"/>
      <c r="T70" s="22"/>
      <c r="U70" s="84"/>
      <c r="V70" s="81"/>
      <c r="AA70" s="49"/>
      <c r="AB70" s="81"/>
      <c r="AG70" s="49"/>
      <c r="AH70" s="81"/>
      <c r="AM70" s="49"/>
      <c r="AN70" s="81"/>
      <c r="AS70" s="49"/>
      <c r="AT70" s="81"/>
      <c r="AY70" s="49"/>
      <c r="AZ70" s="81"/>
      <c r="BH70" s="82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</row>
    <row r="71" ht="9.0" hidden="1" customHeight="1">
      <c r="A71" s="66"/>
      <c r="B71" s="80"/>
      <c r="C71" s="17"/>
      <c r="D71" s="17"/>
      <c r="E71" s="26"/>
      <c r="F71" s="25"/>
      <c r="G71" s="17"/>
      <c r="H71" s="17"/>
      <c r="I71" s="26"/>
      <c r="J71" s="25"/>
      <c r="K71" s="17"/>
      <c r="L71" s="17"/>
      <c r="M71" s="17"/>
      <c r="N71" s="17"/>
      <c r="O71" s="26"/>
      <c r="P71" s="25"/>
      <c r="Q71" s="17"/>
      <c r="R71" s="17"/>
      <c r="S71" s="17"/>
      <c r="T71" s="17"/>
      <c r="U71" s="26"/>
      <c r="V71" s="25"/>
      <c r="W71" s="17"/>
      <c r="X71" s="17"/>
      <c r="Y71" s="17"/>
      <c r="Z71" s="17"/>
      <c r="AA71" s="26"/>
      <c r="AB71" s="25"/>
      <c r="AC71" s="17"/>
      <c r="AD71" s="17"/>
      <c r="AE71" s="17"/>
      <c r="AF71" s="17"/>
      <c r="AG71" s="26"/>
      <c r="AH71" s="25"/>
      <c r="AI71" s="17"/>
      <c r="AJ71" s="17"/>
      <c r="AK71" s="17"/>
      <c r="AL71" s="17"/>
      <c r="AM71" s="26"/>
      <c r="AN71" s="25"/>
      <c r="AO71" s="17"/>
      <c r="AP71" s="17"/>
      <c r="AQ71" s="17"/>
      <c r="AR71" s="17"/>
      <c r="AS71" s="26"/>
      <c r="AT71" s="25"/>
      <c r="AU71" s="17"/>
      <c r="AV71" s="17"/>
      <c r="AW71" s="17"/>
      <c r="AX71" s="17"/>
      <c r="AY71" s="26"/>
      <c r="AZ71" s="25"/>
      <c r="BA71" s="17"/>
      <c r="BB71" s="17"/>
      <c r="BC71" s="17"/>
      <c r="BD71" s="17"/>
      <c r="BE71" s="17"/>
      <c r="BF71" s="17"/>
      <c r="BG71" s="17"/>
      <c r="BH71" s="101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</row>
    <row r="72" ht="30.0" hidden="1" customHeight="1">
      <c r="A72" s="66"/>
      <c r="B72" s="113"/>
      <c r="C72" s="20"/>
      <c r="D72" s="20"/>
      <c r="E72" s="20"/>
      <c r="F72" s="107"/>
      <c r="G72" s="20"/>
      <c r="H72" s="20"/>
      <c r="I72" s="104"/>
      <c r="J72" s="107"/>
      <c r="K72" s="20"/>
      <c r="L72" s="20"/>
      <c r="M72" s="20"/>
      <c r="N72" s="20"/>
      <c r="O72" s="104"/>
      <c r="P72" s="107"/>
      <c r="Q72" s="20"/>
      <c r="R72" s="20"/>
      <c r="S72" s="20"/>
      <c r="T72" s="20"/>
      <c r="U72" s="104"/>
      <c r="V72" s="107"/>
      <c r="W72" s="20"/>
      <c r="X72" s="20"/>
      <c r="Y72" s="20"/>
      <c r="Z72" s="20"/>
      <c r="AA72" s="104"/>
      <c r="AB72" s="106" t="str">
        <f t="shared" ref="AB72:AB82" si="7">IF(V72="", "", V72 * 2020)</f>
        <v/>
      </c>
      <c r="AC72" s="20"/>
      <c r="AD72" s="20"/>
      <c r="AE72" s="20"/>
      <c r="AF72" s="20"/>
      <c r="AG72" s="104"/>
      <c r="AH72" s="106" t="str">
        <f t="shared" ref="AH72:AH82" si="8">IF(AB72="", "", AB72 - AN72)</f>
        <v/>
      </c>
      <c r="AI72" s="20"/>
      <c r="AJ72" s="20"/>
      <c r="AK72" s="20"/>
      <c r="AL72" s="20"/>
      <c r="AM72" s="104"/>
      <c r="AN72" s="106" t="str">
        <f t="shared" ref="AN72:AN82" si="9">IF(AB72="", "", ROUNDDOWN(AB72 * 0.1,0))</f>
        <v/>
      </c>
      <c r="AO72" s="20"/>
      <c r="AP72" s="20"/>
      <c r="AQ72" s="20"/>
      <c r="AR72" s="20"/>
      <c r="AS72" s="104"/>
      <c r="AT72" s="107"/>
      <c r="AU72" s="20"/>
      <c r="AV72" s="20"/>
      <c r="AW72" s="20"/>
      <c r="AX72" s="20"/>
      <c r="AY72" s="104"/>
      <c r="AZ72" s="107"/>
      <c r="BA72" s="20"/>
      <c r="BB72" s="20"/>
      <c r="BC72" s="20"/>
      <c r="BD72" s="20"/>
      <c r="BE72" s="20"/>
      <c r="BF72" s="20"/>
      <c r="BG72" s="20"/>
      <c r="BH72" s="10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 ht="30.0" hidden="1" customHeight="1">
      <c r="A73" s="66"/>
      <c r="B73" s="113"/>
      <c r="C73" s="20"/>
      <c r="D73" s="20"/>
      <c r="E73" s="20"/>
      <c r="F73" s="107"/>
      <c r="G73" s="20"/>
      <c r="H73" s="20"/>
      <c r="I73" s="104"/>
      <c r="J73" s="110"/>
      <c r="K73" s="20"/>
      <c r="L73" s="20"/>
      <c r="M73" s="20"/>
      <c r="N73" s="20"/>
      <c r="O73" s="104"/>
      <c r="P73" s="110"/>
      <c r="Q73" s="20"/>
      <c r="R73" s="20"/>
      <c r="S73" s="20"/>
      <c r="T73" s="20"/>
      <c r="U73" s="104"/>
      <c r="V73" s="107"/>
      <c r="W73" s="20"/>
      <c r="X73" s="20"/>
      <c r="Y73" s="20"/>
      <c r="Z73" s="20"/>
      <c r="AA73" s="104"/>
      <c r="AB73" s="106" t="str">
        <f t="shared" si="7"/>
        <v/>
      </c>
      <c r="AC73" s="20"/>
      <c r="AD73" s="20"/>
      <c r="AE73" s="20"/>
      <c r="AF73" s="20"/>
      <c r="AG73" s="104"/>
      <c r="AH73" s="106" t="str">
        <f t="shared" si="8"/>
        <v/>
      </c>
      <c r="AI73" s="20"/>
      <c r="AJ73" s="20"/>
      <c r="AK73" s="20"/>
      <c r="AL73" s="20"/>
      <c r="AM73" s="104"/>
      <c r="AN73" s="106" t="str">
        <f t="shared" si="9"/>
        <v/>
      </c>
      <c r="AO73" s="20"/>
      <c r="AP73" s="20"/>
      <c r="AQ73" s="20"/>
      <c r="AR73" s="20"/>
      <c r="AS73" s="104"/>
      <c r="AT73" s="107"/>
      <c r="AU73" s="20"/>
      <c r="AV73" s="20"/>
      <c r="AW73" s="20"/>
      <c r="AX73" s="20"/>
      <c r="AY73" s="104"/>
      <c r="AZ73" s="107"/>
      <c r="BA73" s="20"/>
      <c r="BB73" s="20"/>
      <c r="BC73" s="20"/>
      <c r="BD73" s="20"/>
      <c r="BE73" s="20"/>
      <c r="BF73" s="20"/>
      <c r="BG73" s="20"/>
      <c r="BH73" s="10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</row>
    <row r="74" ht="30.0" hidden="1" customHeight="1">
      <c r="A74" s="66"/>
      <c r="B74" s="113"/>
      <c r="C74" s="20"/>
      <c r="D74" s="20"/>
      <c r="E74" s="20"/>
      <c r="F74" s="107"/>
      <c r="G74" s="20"/>
      <c r="H74" s="20"/>
      <c r="I74" s="104"/>
      <c r="J74" s="107"/>
      <c r="K74" s="20"/>
      <c r="L74" s="20"/>
      <c r="M74" s="20"/>
      <c r="N74" s="20"/>
      <c r="O74" s="104"/>
      <c r="P74" s="107"/>
      <c r="Q74" s="20"/>
      <c r="R74" s="20"/>
      <c r="S74" s="20"/>
      <c r="T74" s="20"/>
      <c r="U74" s="104"/>
      <c r="V74" s="107"/>
      <c r="W74" s="20"/>
      <c r="X74" s="20"/>
      <c r="Y74" s="20"/>
      <c r="Z74" s="20"/>
      <c r="AA74" s="104"/>
      <c r="AB74" s="106" t="str">
        <f t="shared" si="7"/>
        <v/>
      </c>
      <c r="AC74" s="20"/>
      <c r="AD74" s="20"/>
      <c r="AE74" s="20"/>
      <c r="AF74" s="20"/>
      <c r="AG74" s="104"/>
      <c r="AH74" s="106" t="str">
        <f t="shared" si="8"/>
        <v/>
      </c>
      <c r="AI74" s="20"/>
      <c r="AJ74" s="20"/>
      <c r="AK74" s="20"/>
      <c r="AL74" s="20"/>
      <c r="AM74" s="104"/>
      <c r="AN74" s="106" t="str">
        <f t="shared" si="9"/>
        <v/>
      </c>
      <c r="AO74" s="20"/>
      <c r="AP74" s="20"/>
      <c r="AQ74" s="20"/>
      <c r="AR74" s="20"/>
      <c r="AS74" s="104"/>
      <c r="AT74" s="107"/>
      <c r="AU74" s="20"/>
      <c r="AV74" s="20"/>
      <c r="AW74" s="20"/>
      <c r="AX74" s="20"/>
      <c r="AY74" s="104"/>
      <c r="AZ74" s="107"/>
      <c r="BA74" s="20"/>
      <c r="BB74" s="20"/>
      <c r="BC74" s="20"/>
      <c r="BD74" s="20"/>
      <c r="BE74" s="20"/>
      <c r="BF74" s="20"/>
      <c r="BG74" s="20"/>
      <c r="BH74" s="10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</row>
    <row r="75" ht="30.0" hidden="1" customHeight="1">
      <c r="A75" s="66"/>
      <c r="B75" s="113"/>
      <c r="C75" s="20"/>
      <c r="D75" s="20"/>
      <c r="E75" s="20"/>
      <c r="F75" s="107"/>
      <c r="G75" s="20"/>
      <c r="H75" s="20"/>
      <c r="I75" s="104"/>
      <c r="J75" s="110"/>
      <c r="K75" s="20"/>
      <c r="L75" s="20"/>
      <c r="M75" s="20"/>
      <c r="N75" s="20"/>
      <c r="O75" s="104"/>
      <c r="P75" s="110"/>
      <c r="Q75" s="20"/>
      <c r="R75" s="20"/>
      <c r="S75" s="20"/>
      <c r="T75" s="20"/>
      <c r="U75" s="104"/>
      <c r="V75" s="107"/>
      <c r="W75" s="20"/>
      <c r="X75" s="20"/>
      <c r="Y75" s="20"/>
      <c r="Z75" s="20"/>
      <c r="AA75" s="104"/>
      <c r="AB75" s="106" t="str">
        <f t="shared" si="7"/>
        <v/>
      </c>
      <c r="AC75" s="20"/>
      <c r="AD75" s="20"/>
      <c r="AE75" s="20"/>
      <c r="AF75" s="20"/>
      <c r="AG75" s="104"/>
      <c r="AH75" s="106" t="str">
        <f t="shared" si="8"/>
        <v/>
      </c>
      <c r="AI75" s="20"/>
      <c r="AJ75" s="20"/>
      <c r="AK75" s="20"/>
      <c r="AL75" s="20"/>
      <c r="AM75" s="104"/>
      <c r="AN75" s="106" t="str">
        <f t="shared" si="9"/>
        <v/>
      </c>
      <c r="AO75" s="20"/>
      <c r="AP75" s="20"/>
      <c r="AQ75" s="20"/>
      <c r="AR75" s="20"/>
      <c r="AS75" s="104"/>
      <c r="AT75" s="107"/>
      <c r="AU75" s="20"/>
      <c r="AV75" s="20"/>
      <c r="AW75" s="20"/>
      <c r="AX75" s="20"/>
      <c r="AY75" s="104"/>
      <c r="AZ75" s="107"/>
      <c r="BA75" s="20"/>
      <c r="BB75" s="20"/>
      <c r="BC75" s="20"/>
      <c r="BD75" s="20"/>
      <c r="BE75" s="20"/>
      <c r="BF75" s="20"/>
      <c r="BG75" s="20"/>
      <c r="BH75" s="10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</row>
    <row r="76" ht="30.0" hidden="1" customHeight="1">
      <c r="A76" s="66"/>
      <c r="B76" s="113"/>
      <c r="C76" s="20"/>
      <c r="D76" s="20"/>
      <c r="E76" s="20"/>
      <c r="F76" s="107"/>
      <c r="G76" s="20"/>
      <c r="H76" s="20"/>
      <c r="I76" s="104"/>
      <c r="J76" s="107"/>
      <c r="K76" s="20"/>
      <c r="L76" s="20"/>
      <c r="M76" s="20"/>
      <c r="N76" s="20"/>
      <c r="O76" s="104"/>
      <c r="P76" s="107"/>
      <c r="Q76" s="20"/>
      <c r="R76" s="20"/>
      <c r="S76" s="20"/>
      <c r="T76" s="20"/>
      <c r="U76" s="104"/>
      <c r="V76" s="107"/>
      <c r="W76" s="20"/>
      <c r="X76" s="20"/>
      <c r="Y76" s="20"/>
      <c r="Z76" s="20"/>
      <c r="AA76" s="104"/>
      <c r="AB76" s="106" t="str">
        <f t="shared" si="7"/>
        <v/>
      </c>
      <c r="AC76" s="20"/>
      <c r="AD76" s="20"/>
      <c r="AE76" s="20"/>
      <c r="AF76" s="20"/>
      <c r="AG76" s="104"/>
      <c r="AH76" s="106" t="str">
        <f t="shared" si="8"/>
        <v/>
      </c>
      <c r="AI76" s="20"/>
      <c r="AJ76" s="20"/>
      <c r="AK76" s="20"/>
      <c r="AL76" s="20"/>
      <c r="AM76" s="104"/>
      <c r="AN76" s="106" t="str">
        <f t="shared" si="9"/>
        <v/>
      </c>
      <c r="AO76" s="20"/>
      <c r="AP76" s="20"/>
      <c r="AQ76" s="20"/>
      <c r="AR76" s="20"/>
      <c r="AS76" s="104"/>
      <c r="AT76" s="107"/>
      <c r="AU76" s="20"/>
      <c r="AV76" s="20"/>
      <c r="AW76" s="20"/>
      <c r="AX76" s="20"/>
      <c r="AY76" s="104"/>
      <c r="AZ76" s="107"/>
      <c r="BA76" s="20"/>
      <c r="BB76" s="20"/>
      <c r="BC76" s="20"/>
      <c r="BD76" s="20"/>
      <c r="BE76" s="20"/>
      <c r="BF76" s="20"/>
      <c r="BG76" s="20"/>
      <c r="BH76" s="10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</row>
    <row r="77" ht="30.0" hidden="1" customHeight="1">
      <c r="A77" s="66"/>
      <c r="B77" s="113"/>
      <c r="C77" s="20"/>
      <c r="D77" s="20"/>
      <c r="E77" s="20"/>
      <c r="F77" s="107"/>
      <c r="G77" s="20"/>
      <c r="H77" s="20"/>
      <c r="I77" s="104"/>
      <c r="J77" s="110"/>
      <c r="K77" s="20"/>
      <c r="L77" s="20"/>
      <c r="M77" s="20"/>
      <c r="N77" s="20"/>
      <c r="O77" s="104"/>
      <c r="P77" s="110"/>
      <c r="Q77" s="20"/>
      <c r="R77" s="20"/>
      <c r="S77" s="20"/>
      <c r="T77" s="20"/>
      <c r="U77" s="104"/>
      <c r="V77" s="107"/>
      <c r="W77" s="20"/>
      <c r="X77" s="20"/>
      <c r="Y77" s="20"/>
      <c r="Z77" s="20"/>
      <c r="AA77" s="104"/>
      <c r="AB77" s="106" t="str">
        <f t="shared" si="7"/>
        <v/>
      </c>
      <c r="AC77" s="20"/>
      <c r="AD77" s="20"/>
      <c r="AE77" s="20"/>
      <c r="AF77" s="20"/>
      <c r="AG77" s="104"/>
      <c r="AH77" s="106" t="str">
        <f t="shared" si="8"/>
        <v/>
      </c>
      <c r="AI77" s="20"/>
      <c r="AJ77" s="20"/>
      <c r="AK77" s="20"/>
      <c r="AL77" s="20"/>
      <c r="AM77" s="104"/>
      <c r="AN77" s="106" t="str">
        <f t="shared" si="9"/>
        <v/>
      </c>
      <c r="AO77" s="20"/>
      <c r="AP77" s="20"/>
      <c r="AQ77" s="20"/>
      <c r="AR77" s="20"/>
      <c r="AS77" s="104"/>
      <c r="AT77" s="107"/>
      <c r="AU77" s="20"/>
      <c r="AV77" s="20"/>
      <c r="AW77" s="20"/>
      <c r="AX77" s="20"/>
      <c r="AY77" s="104"/>
      <c r="AZ77" s="107"/>
      <c r="BA77" s="20"/>
      <c r="BB77" s="20"/>
      <c r="BC77" s="20"/>
      <c r="BD77" s="20"/>
      <c r="BE77" s="20"/>
      <c r="BF77" s="20"/>
      <c r="BG77" s="20"/>
      <c r="BH77" s="10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</row>
    <row r="78" ht="30.0" hidden="1" customHeight="1">
      <c r="A78" s="66"/>
      <c r="B78" s="113"/>
      <c r="C78" s="20"/>
      <c r="D78" s="20"/>
      <c r="E78" s="20"/>
      <c r="F78" s="107"/>
      <c r="G78" s="20"/>
      <c r="H78" s="20"/>
      <c r="I78" s="104"/>
      <c r="J78" s="107"/>
      <c r="K78" s="20"/>
      <c r="L78" s="20"/>
      <c r="M78" s="20"/>
      <c r="N78" s="20"/>
      <c r="O78" s="104"/>
      <c r="P78" s="107"/>
      <c r="Q78" s="20"/>
      <c r="R78" s="20"/>
      <c r="S78" s="20"/>
      <c r="T78" s="20"/>
      <c r="U78" s="104"/>
      <c r="V78" s="107"/>
      <c r="W78" s="20"/>
      <c r="X78" s="20"/>
      <c r="Y78" s="20"/>
      <c r="Z78" s="20"/>
      <c r="AA78" s="104"/>
      <c r="AB78" s="106" t="str">
        <f t="shared" si="7"/>
        <v/>
      </c>
      <c r="AC78" s="20"/>
      <c r="AD78" s="20"/>
      <c r="AE78" s="20"/>
      <c r="AF78" s="20"/>
      <c r="AG78" s="104"/>
      <c r="AH78" s="106" t="str">
        <f t="shared" si="8"/>
        <v/>
      </c>
      <c r="AI78" s="20"/>
      <c r="AJ78" s="20"/>
      <c r="AK78" s="20"/>
      <c r="AL78" s="20"/>
      <c r="AM78" s="104"/>
      <c r="AN78" s="106" t="str">
        <f t="shared" si="9"/>
        <v/>
      </c>
      <c r="AO78" s="20"/>
      <c r="AP78" s="20"/>
      <c r="AQ78" s="20"/>
      <c r="AR78" s="20"/>
      <c r="AS78" s="104"/>
      <c r="AT78" s="107"/>
      <c r="AU78" s="20"/>
      <c r="AV78" s="20"/>
      <c r="AW78" s="20"/>
      <c r="AX78" s="20"/>
      <c r="AY78" s="104"/>
      <c r="AZ78" s="107"/>
      <c r="BA78" s="20"/>
      <c r="BB78" s="20"/>
      <c r="BC78" s="20"/>
      <c r="BD78" s="20"/>
      <c r="BE78" s="20"/>
      <c r="BF78" s="20"/>
      <c r="BG78" s="20"/>
      <c r="BH78" s="10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</row>
    <row r="79" ht="30.0" hidden="1" customHeight="1">
      <c r="A79" s="66"/>
      <c r="B79" s="113"/>
      <c r="C79" s="20"/>
      <c r="D79" s="20"/>
      <c r="E79" s="20"/>
      <c r="F79" s="107"/>
      <c r="G79" s="20"/>
      <c r="H79" s="20"/>
      <c r="I79" s="104"/>
      <c r="J79" s="110"/>
      <c r="K79" s="20"/>
      <c r="L79" s="20"/>
      <c r="M79" s="20"/>
      <c r="N79" s="20"/>
      <c r="O79" s="104"/>
      <c r="P79" s="110"/>
      <c r="Q79" s="20"/>
      <c r="R79" s="20"/>
      <c r="S79" s="20"/>
      <c r="T79" s="20"/>
      <c r="U79" s="104"/>
      <c r="V79" s="107"/>
      <c r="W79" s="20"/>
      <c r="X79" s="20"/>
      <c r="Y79" s="20"/>
      <c r="Z79" s="20"/>
      <c r="AA79" s="104"/>
      <c r="AB79" s="106" t="str">
        <f t="shared" si="7"/>
        <v/>
      </c>
      <c r="AC79" s="20"/>
      <c r="AD79" s="20"/>
      <c r="AE79" s="20"/>
      <c r="AF79" s="20"/>
      <c r="AG79" s="104"/>
      <c r="AH79" s="106" t="str">
        <f t="shared" si="8"/>
        <v/>
      </c>
      <c r="AI79" s="20"/>
      <c r="AJ79" s="20"/>
      <c r="AK79" s="20"/>
      <c r="AL79" s="20"/>
      <c r="AM79" s="104"/>
      <c r="AN79" s="106" t="str">
        <f t="shared" si="9"/>
        <v/>
      </c>
      <c r="AO79" s="20"/>
      <c r="AP79" s="20"/>
      <c r="AQ79" s="20"/>
      <c r="AR79" s="20"/>
      <c r="AS79" s="104"/>
      <c r="AT79" s="107"/>
      <c r="AU79" s="20"/>
      <c r="AV79" s="20"/>
      <c r="AW79" s="20"/>
      <c r="AX79" s="20"/>
      <c r="AY79" s="104"/>
      <c r="AZ79" s="107"/>
      <c r="BA79" s="20"/>
      <c r="BB79" s="20"/>
      <c r="BC79" s="20"/>
      <c r="BD79" s="20"/>
      <c r="BE79" s="20"/>
      <c r="BF79" s="20"/>
      <c r="BG79" s="20"/>
      <c r="BH79" s="10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</row>
    <row r="80" ht="30.0" hidden="1" customHeight="1">
      <c r="A80" s="66"/>
      <c r="B80" s="113"/>
      <c r="C80" s="20"/>
      <c r="D80" s="20"/>
      <c r="E80" s="20"/>
      <c r="F80" s="107"/>
      <c r="G80" s="20"/>
      <c r="H80" s="20"/>
      <c r="I80" s="104"/>
      <c r="J80" s="107"/>
      <c r="K80" s="20"/>
      <c r="L80" s="20"/>
      <c r="M80" s="20"/>
      <c r="N80" s="20"/>
      <c r="O80" s="104"/>
      <c r="P80" s="107"/>
      <c r="Q80" s="20"/>
      <c r="R80" s="20"/>
      <c r="S80" s="20"/>
      <c r="T80" s="20"/>
      <c r="U80" s="104"/>
      <c r="V80" s="107"/>
      <c r="W80" s="20"/>
      <c r="X80" s="20"/>
      <c r="Y80" s="20"/>
      <c r="Z80" s="20"/>
      <c r="AA80" s="104"/>
      <c r="AB80" s="106" t="str">
        <f t="shared" si="7"/>
        <v/>
      </c>
      <c r="AC80" s="20"/>
      <c r="AD80" s="20"/>
      <c r="AE80" s="20"/>
      <c r="AF80" s="20"/>
      <c r="AG80" s="104"/>
      <c r="AH80" s="106" t="str">
        <f t="shared" si="8"/>
        <v/>
      </c>
      <c r="AI80" s="20"/>
      <c r="AJ80" s="20"/>
      <c r="AK80" s="20"/>
      <c r="AL80" s="20"/>
      <c r="AM80" s="104"/>
      <c r="AN80" s="106" t="str">
        <f t="shared" si="9"/>
        <v/>
      </c>
      <c r="AO80" s="20"/>
      <c r="AP80" s="20"/>
      <c r="AQ80" s="20"/>
      <c r="AR80" s="20"/>
      <c r="AS80" s="104"/>
      <c r="AT80" s="107"/>
      <c r="AU80" s="20"/>
      <c r="AV80" s="20"/>
      <c r="AW80" s="20"/>
      <c r="AX80" s="20"/>
      <c r="AY80" s="104"/>
      <c r="AZ80" s="107"/>
      <c r="BA80" s="20"/>
      <c r="BB80" s="20"/>
      <c r="BC80" s="20"/>
      <c r="BD80" s="20"/>
      <c r="BE80" s="20"/>
      <c r="BF80" s="20"/>
      <c r="BG80" s="20"/>
      <c r="BH80" s="10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</row>
    <row r="81" ht="30.0" hidden="1" customHeight="1">
      <c r="A81" s="66"/>
      <c r="B81" s="113"/>
      <c r="C81" s="20"/>
      <c r="D81" s="20"/>
      <c r="E81" s="20"/>
      <c r="F81" s="107"/>
      <c r="G81" s="20"/>
      <c r="H81" s="20"/>
      <c r="I81" s="104"/>
      <c r="J81" s="110"/>
      <c r="K81" s="20"/>
      <c r="L81" s="20"/>
      <c r="M81" s="20"/>
      <c r="N81" s="20"/>
      <c r="O81" s="104"/>
      <c r="P81" s="110"/>
      <c r="Q81" s="20"/>
      <c r="R81" s="20"/>
      <c r="S81" s="20"/>
      <c r="T81" s="20"/>
      <c r="U81" s="104"/>
      <c r="V81" s="107"/>
      <c r="W81" s="20"/>
      <c r="X81" s="20"/>
      <c r="Y81" s="20"/>
      <c r="Z81" s="20"/>
      <c r="AA81" s="104"/>
      <c r="AB81" s="106" t="str">
        <f t="shared" si="7"/>
        <v/>
      </c>
      <c r="AC81" s="20"/>
      <c r="AD81" s="20"/>
      <c r="AE81" s="20"/>
      <c r="AF81" s="20"/>
      <c r="AG81" s="104"/>
      <c r="AH81" s="106" t="str">
        <f t="shared" si="8"/>
        <v/>
      </c>
      <c r="AI81" s="20"/>
      <c r="AJ81" s="20"/>
      <c r="AK81" s="20"/>
      <c r="AL81" s="20"/>
      <c r="AM81" s="104"/>
      <c r="AN81" s="106" t="str">
        <f t="shared" si="9"/>
        <v/>
      </c>
      <c r="AO81" s="20"/>
      <c r="AP81" s="20"/>
      <c r="AQ81" s="20"/>
      <c r="AR81" s="20"/>
      <c r="AS81" s="104"/>
      <c r="AT81" s="107"/>
      <c r="AU81" s="20"/>
      <c r="AV81" s="20"/>
      <c r="AW81" s="20"/>
      <c r="AX81" s="20"/>
      <c r="AY81" s="104"/>
      <c r="AZ81" s="107"/>
      <c r="BA81" s="20"/>
      <c r="BB81" s="20"/>
      <c r="BC81" s="20"/>
      <c r="BD81" s="20"/>
      <c r="BE81" s="20"/>
      <c r="BF81" s="20"/>
      <c r="BG81" s="20"/>
      <c r="BH81" s="10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</row>
    <row r="82" ht="30.0" hidden="1" customHeight="1">
      <c r="A82" s="66"/>
      <c r="B82" s="113"/>
      <c r="C82" s="20"/>
      <c r="D82" s="20"/>
      <c r="E82" s="20"/>
      <c r="F82" s="107"/>
      <c r="G82" s="20"/>
      <c r="H82" s="20"/>
      <c r="I82" s="104"/>
      <c r="J82" s="107"/>
      <c r="K82" s="20"/>
      <c r="L82" s="20"/>
      <c r="M82" s="20"/>
      <c r="N82" s="20"/>
      <c r="O82" s="104"/>
      <c r="P82" s="107"/>
      <c r="Q82" s="20"/>
      <c r="R82" s="20"/>
      <c r="S82" s="20"/>
      <c r="T82" s="20"/>
      <c r="U82" s="104"/>
      <c r="V82" s="107"/>
      <c r="W82" s="20"/>
      <c r="X82" s="20"/>
      <c r="Y82" s="20"/>
      <c r="Z82" s="20"/>
      <c r="AA82" s="104"/>
      <c r="AB82" s="106" t="str">
        <f t="shared" si="7"/>
        <v/>
      </c>
      <c r="AC82" s="20"/>
      <c r="AD82" s="20"/>
      <c r="AE82" s="20"/>
      <c r="AF82" s="20"/>
      <c r="AG82" s="104"/>
      <c r="AH82" s="106" t="str">
        <f t="shared" si="8"/>
        <v/>
      </c>
      <c r="AI82" s="20"/>
      <c r="AJ82" s="20"/>
      <c r="AK82" s="20"/>
      <c r="AL82" s="20"/>
      <c r="AM82" s="104"/>
      <c r="AN82" s="106" t="str">
        <f t="shared" si="9"/>
        <v/>
      </c>
      <c r="AO82" s="20"/>
      <c r="AP82" s="20"/>
      <c r="AQ82" s="20"/>
      <c r="AR82" s="20"/>
      <c r="AS82" s="104"/>
      <c r="AT82" s="107"/>
      <c r="AU82" s="20"/>
      <c r="AV82" s="20"/>
      <c r="AW82" s="20"/>
      <c r="AX82" s="20"/>
      <c r="AY82" s="104"/>
      <c r="AZ82" s="107"/>
      <c r="BA82" s="20"/>
      <c r="BB82" s="20"/>
      <c r="BC82" s="20"/>
      <c r="BD82" s="20"/>
      <c r="BE82" s="20"/>
      <c r="BF82" s="20"/>
      <c r="BG82" s="20"/>
      <c r="BH82" s="10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</row>
    <row r="83" ht="30.0" hidden="1" customHeight="1">
      <c r="A83" s="66"/>
      <c r="B83" s="113"/>
      <c r="C83" s="20"/>
      <c r="D83" s="20"/>
      <c r="E83" s="20"/>
      <c r="F83" s="107"/>
      <c r="G83" s="20"/>
      <c r="H83" s="20"/>
      <c r="I83" s="104"/>
      <c r="J83" s="110"/>
      <c r="K83" s="20"/>
      <c r="L83" s="20"/>
      <c r="M83" s="20"/>
      <c r="N83" s="20"/>
      <c r="O83" s="104"/>
      <c r="P83" s="110"/>
      <c r="Q83" s="20"/>
      <c r="R83" s="20"/>
      <c r="S83" s="20"/>
      <c r="T83" s="20"/>
      <c r="U83" s="104"/>
      <c r="V83" s="107"/>
      <c r="W83" s="20"/>
      <c r="X83" s="20"/>
      <c r="Y83" s="20"/>
      <c r="Z83" s="20"/>
      <c r="AA83" s="104"/>
      <c r="AB83" s="106"/>
      <c r="AC83" s="20"/>
      <c r="AD83" s="20"/>
      <c r="AE83" s="20"/>
      <c r="AF83" s="20"/>
      <c r="AG83" s="104"/>
      <c r="AH83" s="106"/>
      <c r="AI83" s="20"/>
      <c r="AJ83" s="20"/>
      <c r="AK83" s="20"/>
      <c r="AL83" s="20"/>
      <c r="AM83" s="104"/>
      <c r="AN83" s="106"/>
      <c r="AO83" s="20"/>
      <c r="AP83" s="20"/>
      <c r="AQ83" s="20"/>
      <c r="AR83" s="20"/>
      <c r="AS83" s="104"/>
      <c r="AT83" s="107"/>
      <c r="AU83" s="20"/>
      <c r="AV83" s="20"/>
      <c r="AW83" s="20"/>
      <c r="AX83" s="20"/>
      <c r="AY83" s="104"/>
      <c r="AZ83" s="107"/>
      <c r="BA83" s="20"/>
      <c r="BB83" s="20"/>
      <c r="BC83" s="20"/>
      <c r="BD83" s="20"/>
      <c r="BE83" s="20"/>
      <c r="BF83" s="20"/>
      <c r="BG83" s="20"/>
      <c r="BH83" s="10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</row>
    <row r="84" ht="30.0" hidden="1" customHeight="1">
      <c r="A84" s="66"/>
      <c r="B84" s="113"/>
      <c r="C84" s="20"/>
      <c r="D84" s="20"/>
      <c r="E84" s="20"/>
      <c r="F84" s="107"/>
      <c r="G84" s="20"/>
      <c r="H84" s="20"/>
      <c r="I84" s="104"/>
      <c r="J84" s="107"/>
      <c r="K84" s="20"/>
      <c r="L84" s="20"/>
      <c r="M84" s="20"/>
      <c r="N84" s="20"/>
      <c r="O84" s="104"/>
      <c r="P84" s="107"/>
      <c r="Q84" s="20"/>
      <c r="R84" s="20"/>
      <c r="S84" s="20"/>
      <c r="T84" s="20"/>
      <c r="U84" s="104"/>
      <c r="V84" s="107"/>
      <c r="W84" s="20"/>
      <c r="X84" s="20"/>
      <c r="Y84" s="20"/>
      <c r="Z84" s="20"/>
      <c r="AA84" s="104"/>
      <c r="AB84" s="106"/>
      <c r="AC84" s="20"/>
      <c r="AD84" s="20"/>
      <c r="AE84" s="20"/>
      <c r="AF84" s="20"/>
      <c r="AG84" s="104"/>
      <c r="AH84" s="106"/>
      <c r="AI84" s="20"/>
      <c r="AJ84" s="20"/>
      <c r="AK84" s="20"/>
      <c r="AL84" s="20"/>
      <c r="AM84" s="104"/>
      <c r="AN84" s="106"/>
      <c r="AO84" s="20"/>
      <c r="AP84" s="20"/>
      <c r="AQ84" s="20"/>
      <c r="AR84" s="20"/>
      <c r="AS84" s="104"/>
      <c r="AT84" s="107"/>
      <c r="AU84" s="20"/>
      <c r="AV84" s="20"/>
      <c r="AW84" s="20"/>
      <c r="AX84" s="20"/>
      <c r="AY84" s="104"/>
      <c r="AZ84" s="107"/>
      <c r="BA84" s="20"/>
      <c r="BB84" s="20"/>
      <c r="BC84" s="20"/>
      <c r="BD84" s="20"/>
      <c r="BE84" s="20"/>
      <c r="BF84" s="20"/>
      <c r="BG84" s="20"/>
      <c r="BH84" s="10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</row>
    <row r="85" ht="30.0" hidden="1" customHeight="1">
      <c r="A85" s="66"/>
      <c r="B85" s="113"/>
      <c r="C85" s="20"/>
      <c r="D85" s="20"/>
      <c r="E85" s="20"/>
      <c r="F85" s="107"/>
      <c r="G85" s="20"/>
      <c r="H85" s="20"/>
      <c r="I85" s="104"/>
      <c r="J85" s="110"/>
      <c r="K85" s="20"/>
      <c r="L85" s="20"/>
      <c r="M85" s="20"/>
      <c r="N85" s="20"/>
      <c r="O85" s="104"/>
      <c r="P85" s="110"/>
      <c r="Q85" s="20"/>
      <c r="R85" s="20"/>
      <c r="S85" s="20"/>
      <c r="T85" s="20"/>
      <c r="U85" s="104"/>
      <c r="V85" s="107"/>
      <c r="W85" s="20"/>
      <c r="X85" s="20"/>
      <c r="Y85" s="20"/>
      <c r="Z85" s="20"/>
      <c r="AA85" s="104"/>
      <c r="AB85" s="106"/>
      <c r="AC85" s="20"/>
      <c r="AD85" s="20"/>
      <c r="AE85" s="20"/>
      <c r="AF85" s="20"/>
      <c r="AG85" s="104"/>
      <c r="AH85" s="106"/>
      <c r="AI85" s="20"/>
      <c r="AJ85" s="20"/>
      <c r="AK85" s="20"/>
      <c r="AL85" s="20"/>
      <c r="AM85" s="104"/>
      <c r="AN85" s="106"/>
      <c r="AO85" s="20"/>
      <c r="AP85" s="20"/>
      <c r="AQ85" s="20"/>
      <c r="AR85" s="20"/>
      <c r="AS85" s="104"/>
      <c r="AT85" s="107"/>
      <c r="AU85" s="20"/>
      <c r="AV85" s="20"/>
      <c r="AW85" s="20"/>
      <c r="AX85" s="20"/>
      <c r="AY85" s="104"/>
      <c r="AZ85" s="107"/>
      <c r="BA85" s="20"/>
      <c r="BB85" s="20"/>
      <c r="BC85" s="20"/>
      <c r="BD85" s="20"/>
      <c r="BE85" s="20"/>
      <c r="BF85" s="20"/>
      <c r="BG85" s="20"/>
      <c r="BH85" s="10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</row>
    <row r="86" ht="30.0" hidden="1" customHeight="1">
      <c r="A86" s="66"/>
      <c r="B86" s="113"/>
      <c r="C86" s="20"/>
      <c r="D86" s="20"/>
      <c r="E86" s="20"/>
      <c r="F86" s="107"/>
      <c r="G86" s="20"/>
      <c r="H86" s="20"/>
      <c r="I86" s="104"/>
      <c r="J86" s="107"/>
      <c r="K86" s="20"/>
      <c r="L86" s="20"/>
      <c r="M86" s="20"/>
      <c r="N86" s="20"/>
      <c r="O86" s="104"/>
      <c r="P86" s="107"/>
      <c r="Q86" s="20"/>
      <c r="R86" s="20"/>
      <c r="S86" s="20"/>
      <c r="T86" s="20"/>
      <c r="U86" s="104"/>
      <c r="V86" s="107"/>
      <c r="W86" s="20"/>
      <c r="X86" s="20"/>
      <c r="Y86" s="20"/>
      <c r="Z86" s="20"/>
      <c r="AA86" s="104"/>
      <c r="AB86" s="106"/>
      <c r="AC86" s="20"/>
      <c r="AD86" s="20"/>
      <c r="AE86" s="20"/>
      <c r="AF86" s="20"/>
      <c r="AG86" s="104"/>
      <c r="AH86" s="106"/>
      <c r="AI86" s="20"/>
      <c r="AJ86" s="20"/>
      <c r="AK86" s="20"/>
      <c r="AL86" s="20"/>
      <c r="AM86" s="104"/>
      <c r="AN86" s="106"/>
      <c r="AO86" s="20"/>
      <c r="AP86" s="20"/>
      <c r="AQ86" s="20"/>
      <c r="AR86" s="20"/>
      <c r="AS86" s="104"/>
      <c r="AT86" s="107"/>
      <c r="AU86" s="20"/>
      <c r="AV86" s="20"/>
      <c r="AW86" s="20"/>
      <c r="AX86" s="20"/>
      <c r="AY86" s="104"/>
      <c r="AZ86" s="107"/>
      <c r="BA86" s="20"/>
      <c r="BB86" s="20"/>
      <c r="BC86" s="20"/>
      <c r="BD86" s="20"/>
      <c r="BE86" s="20"/>
      <c r="BF86" s="20"/>
      <c r="BG86" s="20"/>
      <c r="BH86" s="10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</row>
    <row r="87" ht="30.0" hidden="1" customHeight="1">
      <c r="A87" s="66"/>
      <c r="B87" s="113"/>
      <c r="C87" s="20"/>
      <c r="D87" s="20"/>
      <c r="E87" s="20"/>
      <c r="F87" s="107"/>
      <c r="G87" s="20"/>
      <c r="H87" s="20"/>
      <c r="I87" s="104"/>
      <c r="J87" s="110"/>
      <c r="K87" s="20"/>
      <c r="L87" s="20"/>
      <c r="M87" s="20"/>
      <c r="N87" s="20"/>
      <c r="O87" s="104"/>
      <c r="P87" s="110"/>
      <c r="Q87" s="20"/>
      <c r="R87" s="20"/>
      <c r="S87" s="20"/>
      <c r="T87" s="20"/>
      <c r="U87" s="104"/>
      <c r="V87" s="107"/>
      <c r="W87" s="20"/>
      <c r="X87" s="20"/>
      <c r="Y87" s="20"/>
      <c r="Z87" s="20"/>
      <c r="AA87" s="104"/>
      <c r="AB87" s="106"/>
      <c r="AC87" s="20"/>
      <c r="AD87" s="20"/>
      <c r="AE87" s="20"/>
      <c r="AF87" s="20"/>
      <c r="AG87" s="104"/>
      <c r="AH87" s="106"/>
      <c r="AI87" s="20"/>
      <c r="AJ87" s="20"/>
      <c r="AK87" s="20"/>
      <c r="AL87" s="20"/>
      <c r="AM87" s="104"/>
      <c r="AN87" s="106"/>
      <c r="AO87" s="20"/>
      <c r="AP87" s="20"/>
      <c r="AQ87" s="20"/>
      <c r="AR87" s="20"/>
      <c r="AS87" s="104"/>
      <c r="AT87" s="107"/>
      <c r="AU87" s="20"/>
      <c r="AV87" s="20"/>
      <c r="AW87" s="20"/>
      <c r="AX87" s="20"/>
      <c r="AY87" s="104"/>
      <c r="AZ87" s="107"/>
      <c r="BA87" s="20"/>
      <c r="BB87" s="20"/>
      <c r="BC87" s="20"/>
      <c r="BD87" s="20"/>
      <c r="BE87" s="20"/>
      <c r="BF87" s="20"/>
      <c r="BG87" s="20"/>
      <c r="BH87" s="10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</row>
    <row r="88" ht="30.0" hidden="1" customHeight="1">
      <c r="A88" s="66"/>
      <c r="B88" s="113"/>
      <c r="C88" s="20"/>
      <c r="D88" s="20"/>
      <c r="E88" s="20"/>
      <c r="F88" s="107"/>
      <c r="G88" s="20"/>
      <c r="H88" s="20"/>
      <c r="I88" s="104"/>
      <c r="J88" s="107"/>
      <c r="K88" s="20"/>
      <c r="L88" s="20"/>
      <c r="M88" s="20"/>
      <c r="N88" s="20"/>
      <c r="O88" s="104"/>
      <c r="P88" s="107"/>
      <c r="Q88" s="20"/>
      <c r="R88" s="20"/>
      <c r="S88" s="20"/>
      <c r="T88" s="20"/>
      <c r="U88" s="104"/>
      <c r="V88" s="107"/>
      <c r="W88" s="20"/>
      <c r="X88" s="20"/>
      <c r="Y88" s="20"/>
      <c r="Z88" s="20"/>
      <c r="AA88" s="104"/>
      <c r="AB88" s="106"/>
      <c r="AC88" s="20"/>
      <c r="AD88" s="20"/>
      <c r="AE88" s="20"/>
      <c r="AF88" s="20"/>
      <c r="AG88" s="104"/>
      <c r="AH88" s="106"/>
      <c r="AI88" s="20"/>
      <c r="AJ88" s="20"/>
      <c r="AK88" s="20"/>
      <c r="AL88" s="20"/>
      <c r="AM88" s="104"/>
      <c r="AN88" s="106"/>
      <c r="AO88" s="20"/>
      <c r="AP88" s="20"/>
      <c r="AQ88" s="20"/>
      <c r="AR88" s="20"/>
      <c r="AS88" s="104"/>
      <c r="AT88" s="107"/>
      <c r="AU88" s="20"/>
      <c r="AV88" s="20"/>
      <c r="AW88" s="20"/>
      <c r="AX88" s="20"/>
      <c r="AY88" s="104"/>
      <c r="AZ88" s="107"/>
      <c r="BA88" s="20"/>
      <c r="BB88" s="20"/>
      <c r="BC88" s="20"/>
      <c r="BD88" s="20"/>
      <c r="BE88" s="20"/>
      <c r="BF88" s="20"/>
      <c r="BG88" s="20"/>
      <c r="BH88" s="10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</row>
    <row r="89" ht="30.0" hidden="1" customHeight="1">
      <c r="A89" s="66"/>
      <c r="B89" s="113"/>
      <c r="C89" s="20"/>
      <c r="D89" s="20"/>
      <c r="E89" s="20"/>
      <c r="F89" s="107"/>
      <c r="G89" s="20"/>
      <c r="H89" s="20"/>
      <c r="I89" s="104"/>
      <c r="J89" s="110"/>
      <c r="K89" s="20"/>
      <c r="L89" s="20"/>
      <c r="M89" s="20"/>
      <c r="N89" s="20"/>
      <c r="O89" s="104"/>
      <c r="P89" s="110"/>
      <c r="Q89" s="20"/>
      <c r="R89" s="20"/>
      <c r="S89" s="20"/>
      <c r="T89" s="20"/>
      <c r="U89" s="104"/>
      <c r="V89" s="107"/>
      <c r="W89" s="20"/>
      <c r="X89" s="20"/>
      <c r="Y89" s="20"/>
      <c r="Z89" s="20"/>
      <c r="AA89" s="104"/>
      <c r="AB89" s="106"/>
      <c r="AC89" s="20"/>
      <c r="AD89" s="20"/>
      <c r="AE89" s="20"/>
      <c r="AF89" s="20"/>
      <c r="AG89" s="104"/>
      <c r="AH89" s="106"/>
      <c r="AI89" s="20"/>
      <c r="AJ89" s="20"/>
      <c r="AK89" s="20"/>
      <c r="AL89" s="20"/>
      <c r="AM89" s="104"/>
      <c r="AN89" s="106"/>
      <c r="AO89" s="20"/>
      <c r="AP89" s="20"/>
      <c r="AQ89" s="20"/>
      <c r="AR89" s="20"/>
      <c r="AS89" s="104"/>
      <c r="AT89" s="107"/>
      <c r="AU89" s="20"/>
      <c r="AV89" s="20"/>
      <c r="AW89" s="20"/>
      <c r="AX89" s="20"/>
      <c r="AY89" s="104"/>
      <c r="AZ89" s="107"/>
      <c r="BA89" s="20"/>
      <c r="BB89" s="20"/>
      <c r="BC89" s="20"/>
      <c r="BD89" s="20"/>
      <c r="BE89" s="20"/>
      <c r="BF89" s="20"/>
      <c r="BG89" s="20"/>
      <c r="BH89" s="10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</row>
    <row r="90" ht="30.0" hidden="1" customHeight="1">
      <c r="A90" s="66"/>
      <c r="B90" s="134" t="s">
        <v>90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6"/>
      <c r="AB90" s="117"/>
      <c r="AC90" s="115"/>
      <c r="AD90" s="115"/>
      <c r="AE90" s="115"/>
      <c r="AF90" s="115"/>
      <c r="AG90" s="116"/>
      <c r="AH90" s="117"/>
      <c r="AI90" s="115"/>
      <c r="AJ90" s="115"/>
      <c r="AK90" s="115"/>
      <c r="AL90" s="115"/>
      <c r="AM90" s="116"/>
      <c r="AN90" s="117"/>
      <c r="AO90" s="115"/>
      <c r="AP90" s="115"/>
      <c r="AQ90" s="115"/>
      <c r="AR90" s="115"/>
      <c r="AS90" s="116"/>
      <c r="AT90" s="118"/>
      <c r="AU90" s="115"/>
      <c r="AV90" s="115"/>
      <c r="AW90" s="115"/>
      <c r="AX90" s="115"/>
      <c r="AY90" s="116"/>
      <c r="AZ90" s="119"/>
      <c r="BA90" s="115"/>
      <c r="BB90" s="115"/>
      <c r="BC90" s="115"/>
      <c r="BD90" s="115"/>
      <c r="BE90" s="115"/>
      <c r="BF90" s="115"/>
      <c r="BG90" s="115"/>
      <c r="BH90" s="120"/>
      <c r="BI90" s="131"/>
      <c r="BJ90" s="131"/>
      <c r="BK90" s="131"/>
      <c r="BL90" s="131"/>
      <c r="BM90" s="131"/>
      <c r="BN90" s="131"/>
      <c r="BO90" s="131"/>
      <c r="BP90" s="131"/>
      <c r="BQ90" s="131"/>
      <c r="BR90" s="131"/>
      <c r="BS90" s="131"/>
      <c r="BT90" s="131"/>
      <c r="BU90" s="131"/>
      <c r="BV90" s="131"/>
      <c r="BW90" s="131"/>
    </row>
    <row r="91" ht="15.75" hidden="1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5" t="s">
        <v>96</v>
      </c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</row>
    <row r="92" ht="15.75" hidden="1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135">
        <v>3.0</v>
      </c>
      <c r="AX92" s="20"/>
      <c r="AY92" s="104"/>
      <c r="AZ92" s="133" t="s">
        <v>91</v>
      </c>
      <c r="BA92" s="20"/>
      <c r="BB92" s="104"/>
      <c r="BC92" s="135">
        <v>3.0</v>
      </c>
      <c r="BD92" s="20"/>
      <c r="BE92" s="104"/>
      <c r="BF92" s="133" t="s">
        <v>92</v>
      </c>
      <c r="BG92" s="20"/>
      <c r="BH92" s="104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6"/>
      <c r="BL455" s="66"/>
      <c r="BM455" s="66"/>
      <c r="BN455" s="66"/>
      <c r="BO455" s="66"/>
      <c r="BP455" s="66"/>
      <c r="BQ455" s="66"/>
      <c r="BR455" s="66"/>
      <c r="BS455" s="66"/>
      <c r="BT455" s="66"/>
      <c r="BU455" s="66"/>
      <c r="BV455" s="66"/>
      <c r="BW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/>
      <c r="BJ461" s="66"/>
      <c r="BK461" s="66"/>
      <c r="BL461" s="66"/>
      <c r="BM461" s="66"/>
      <c r="BN461" s="66"/>
      <c r="BO461" s="66"/>
      <c r="BP461" s="66"/>
      <c r="BQ461" s="66"/>
      <c r="BR461" s="66"/>
      <c r="BS461" s="66"/>
      <c r="BT461" s="66"/>
      <c r="BU461" s="66"/>
      <c r="BV461" s="66"/>
      <c r="BW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6"/>
      <c r="BL462" s="66"/>
      <c r="BM462" s="66"/>
      <c r="BN462" s="66"/>
      <c r="BO462" s="66"/>
      <c r="BP462" s="66"/>
      <c r="BQ462" s="66"/>
      <c r="BR462" s="66"/>
      <c r="BS462" s="66"/>
      <c r="BT462" s="66"/>
      <c r="BU462" s="66"/>
      <c r="BV462" s="66"/>
      <c r="BW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/>
      <c r="BJ463" s="66"/>
      <c r="BK463" s="66"/>
      <c r="BL463" s="66"/>
      <c r="BM463" s="66"/>
      <c r="BN463" s="66"/>
      <c r="BO463" s="66"/>
      <c r="BP463" s="66"/>
      <c r="BQ463" s="66"/>
      <c r="BR463" s="66"/>
      <c r="BS463" s="66"/>
      <c r="BT463" s="66"/>
      <c r="BU463" s="66"/>
      <c r="BV463" s="66"/>
      <c r="BW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66"/>
      <c r="BP464" s="66"/>
      <c r="BQ464" s="66"/>
      <c r="BR464" s="66"/>
      <c r="BS464" s="66"/>
      <c r="BT464" s="66"/>
      <c r="BU464" s="66"/>
      <c r="BV464" s="66"/>
      <c r="BW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/>
      <c r="BJ465" s="66"/>
      <c r="BK465" s="66"/>
      <c r="BL465" s="66"/>
      <c r="BM465" s="66"/>
      <c r="BN465" s="66"/>
      <c r="BO465" s="66"/>
      <c r="BP465" s="66"/>
      <c r="BQ465" s="66"/>
      <c r="BR465" s="66"/>
      <c r="BS465" s="66"/>
      <c r="BT465" s="66"/>
      <c r="BU465" s="66"/>
      <c r="BV465" s="66"/>
      <c r="BW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66"/>
      <c r="BP466" s="66"/>
      <c r="BQ466" s="66"/>
      <c r="BR466" s="66"/>
      <c r="BS466" s="66"/>
      <c r="BT466" s="66"/>
      <c r="BU466" s="66"/>
      <c r="BV466" s="66"/>
      <c r="BW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/>
      <c r="BJ467" s="66"/>
      <c r="BK467" s="66"/>
      <c r="BL467" s="66"/>
      <c r="BM467" s="66"/>
      <c r="BN467" s="66"/>
      <c r="BO467" s="66"/>
      <c r="BP467" s="66"/>
      <c r="BQ467" s="66"/>
      <c r="BR467" s="66"/>
      <c r="BS467" s="66"/>
      <c r="BT467" s="66"/>
      <c r="BU467" s="66"/>
      <c r="BV467" s="66"/>
      <c r="BW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66"/>
      <c r="BP468" s="66"/>
      <c r="BQ468" s="66"/>
      <c r="BR468" s="66"/>
      <c r="BS468" s="66"/>
      <c r="BT468" s="66"/>
      <c r="BU468" s="66"/>
      <c r="BV468" s="66"/>
      <c r="BW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66"/>
      <c r="BM469" s="66"/>
      <c r="BN469" s="66"/>
      <c r="BO469" s="66"/>
      <c r="BP469" s="66"/>
      <c r="BQ469" s="66"/>
      <c r="BR469" s="66"/>
      <c r="BS469" s="66"/>
      <c r="BT469" s="66"/>
      <c r="BU469" s="66"/>
      <c r="BV469" s="66"/>
      <c r="BW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66"/>
      <c r="BM470" s="66"/>
      <c r="BN470" s="66"/>
      <c r="BO470" s="66"/>
      <c r="BP470" s="66"/>
      <c r="BQ470" s="66"/>
      <c r="BR470" s="66"/>
      <c r="BS470" s="66"/>
      <c r="BT470" s="66"/>
      <c r="BU470" s="66"/>
      <c r="BV470" s="66"/>
      <c r="BW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/>
      <c r="BJ471" s="66"/>
      <c r="BK471" s="66"/>
      <c r="BL471" s="66"/>
      <c r="BM471" s="66"/>
      <c r="BN471" s="66"/>
      <c r="BO471" s="66"/>
      <c r="BP471" s="66"/>
      <c r="BQ471" s="66"/>
      <c r="BR471" s="66"/>
      <c r="BS471" s="66"/>
      <c r="BT471" s="66"/>
      <c r="BU471" s="66"/>
      <c r="BV471" s="66"/>
      <c r="BW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/>
      <c r="BJ472" s="66"/>
      <c r="BK472" s="66"/>
      <c r="BL472" s="66"/>
      <c r="BM472" s="66"/>
      <c r="BN472" s="66"/>
      <c r="BO472" s="66"/>
      <c r="BP472" s="66"/>
      <c r="BQ472" s="66"/>
      <c r="BR472" s="66"/>
      <c r="BS472" s="66"/>
      <c r="BT472" s="66"/>
      <c r="BU472" s="66"/>
      <c r="BV472" s="66"/>
      <c r="BW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/>
      <c r="BJ473" s="66"/>
      <c r="BK473" s="66"/>
      <c r="BL473" s="66"/>
      <c r="BM473" s="66"/>
      <c r="BN473" s="66"/>
      <c r="BO473" s="66"/>
      <c r="BP473" s="66"/>
      <c r="BQ473" s="66"/>
      <c r="BR473" s="66"/>
      <c r="BS473" s="66"/>
      <c r="BT473" s="66"/>
      <c r="BU473" s="66"/>
      <c r="BV473" s="66"/>
      <c r="BW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/>
      <c r="BJ474" s="66"/>
      <c r="BK474" s="66"/>
      <c r="BL474" s="66"/>
      <c r="BM474" s="66"/>
      <c r="BN474" s="66"/>
      <c r="BO474" s="66"/>
      <c r="BP474" s="66"/>
      <c r="BQ474" s="66"/>
      <c r="BR474" s="66"/>
      <c r="BS474" s="66"/>
      <c r="BT474" s="66"/>
      <c r="BU474" s="66"/>
      <c r="BV474" s="66"/>
      <c r="BW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/>
      <c r="BJ479" s="66"/>
      <c r="BK479" s="66"/>
      <c r="BL479" s="66"/>
      <c r="BM479" s="66"/>
      <c r="BN479" s="66"/>
      <c r="BO479" s="66"/>
      <c r="BP479" s="66"/>
      <c r="BQ479" s="66"/>
      <c r="BR479" s="66"/>
      <c r="BS479" s="66"/>
      <c r="BT479" s="66"/>
      <c r="BU479" s="66"/>
      <c r="BV479" s="66"/>
      <c r="BW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66"/>
      <c r="BM484" s="66"/>
      <c r="BN484" s="66"/>
      <c r="BO484" s="66"/>
      <c r="BP484" s="66"/>
      <c r="BQ484" s="66"/>
      <c r="BR484" s="66"/>
      <c r="BS484" s="66"/>
      <c r="BT484" s="66"/>
      <c r="BU484" s="66"/>
      <c r="BV484" s="66"/>
      <c r="BW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/>
      <c r="BJ485" s="66"/>
      <c r="BK485" s="66"/>
      <c r="BL485" s="66"/>
      <c r="BM485" s="66"/>
      <c r="BN485" s="66"/>
      <c r="BO485" s="66"/>
      <c r="BP485" s="66"/>
      <c r="BQ485" s="66"/>
      <c r="BR485" s="66"/>
      <c r="BS485" s="66"/>
      <c r="BT485" s="66"/>
      <c r="BU485" s="66"/>
      <c r="BV485" s="66"/>
      <c r="BW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/>
      <c r="BJ486" s="66"/>
      <c r="BK486" s="66"/>
      <c r="BL486" s="66"/>
      <c r="BM486" s="66"/>
      <c r="BN486" s="66"/>
      <c r="BO486" s="66"/>
      <c r="BP486" s="66"/>
      <c r="BQ486" s="66"/>
      <c r="BR486" s="66"/>
      <c r="BS486" s="66"/>
      <c r="BT486" s="66"/>
      <c r="BU486" s="66"/>
      <c r="BV486" s="66"/>
      <c r="BW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/>
      <c r="BJ487" s="66"/>
      <c r="BK487" s="66"/>
      <c r="BL487" s="66"/>
      <c r="BM487" s="66"/>
      <c r="BN487" s="66"/>
      <c r="BO487" s="66"/>
      <c r="BP487" s="66"/>
      <c r="BQ487" s="66"/>
      <c r="BR487" s="66"/>
      <c r="BS487" s="66"/>
      <c r="BT487" s="66"/>
      <c r="BU487" s="66"/>
      <c r="BV487" s="66"/>
      <c r="BW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  <c r="BT488" s="66"/>
      <c r="BU488" s="66"/>
      <c r="BV488" s="66"/>
      <c r="BW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/>
      <c r="BJ489" s="66"/>
      <c r="BK489" s="66"/>
      <c r="BL489" s="66"/>
      <c r="BM489" s="66"/>
      <c r="BN489" s="66"/>
      <c r="BO489" s="66"/>
      <c r="BP489" s="66"/>
      <c r="BQ489" s="66"/>
      <c r="BR489" s="66"/>
      <c r="BS489" s="66"/>
      <c r="BT489" s="66"/>
      <c r="BU489" s="66"/>
      <c r="BV489" s="66"/>
      <c r="BW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/>
      <c r="BJ490" s="66"/>
      <c r="BK490" s="66"/>
      <c r="BL490" s="66"/>
      <c r="BM490" s="66"/>
      <c r="BN490" s="66"/>
      <c r="BO490" s="66"/>
      <c r="BP490" s="66"/>
      <c r="BQ490" s="66"/>
      <c r="BR490" s="66"/>
      <c r="BS490" s="66"/>
      <c r="BT490" s="66"/>
      <c r="BU490" s="66"/>
      <c r="BV490" s="66"/>
      <c r="BW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/>
      <c r="BJ492" s="66"/>
      <c r="BK492" s="66"/>
      <c r="BL492" s="66"/>
      <c r="BM492" s="66"/>
      <c r="BN492" s="66"/>
      <c r="BO492" s="66"/>
      <c r="BP492" s="66"/>
      <c r="BQ492" s="66"/>
      <c r="BR492" s="66"/>
      <c r="BS492" s="66"/>
      <c r="BT492" s="66"/>
      <c r="BU492" s="66"/>
      <c r="BV492" s="66"/>
      <c r="BW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/>
      <c r="BJ494" s="66"/>
      <c r="BK494" s="66"/>
      <c r="BL494" s="66"/>
      <c r="BM494" s="66"/>
      <c r="BN494" s="66"/>
      <c r="BO494" s="66"/>
      <c r="BP494" s="66"/>
      <c r="BQ494" s="66"/>
      <c r="BR494" s="66"/>
      <c r="BS494" s="66"/>
      <c r="BT494" s="66"/>
      <c r="BU494" s="66"/>
      <c r="BV494" s="66"/>
      <c r="BW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/>
      <c r="BJ495" s="66"/>
      <c r="BK495" s="66"/>
      <c r="BL495" s="66"/>
      <c r="BM495" s="66"/>
      <c r="BN495" s="66"/>
      <c r="BO495" s="66"/>
      <c r="BP495" s="66"/>
      <c r="BQ495" s="66"/>
      <c r="BR495" s="66"/>
      <c r="BS495" s="66"/>
      <c r="BT495" s="66"/>
      <c r="BU495" s="66"/>
      <c r="BV495" s="66"/>
      <c r="BW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/>
      <c r="BJ496" s="66"/>
      <c r="BK496" s="66"/>
      <c r="BL496" s="66"/>
      <c r="BM496" s="66"/>
      <c r="BN496" s="66"/>
      <c r="BO496" s="66"/>
      <c r="BP496" s="66"/>
      <c r="BQ496" s="66"/>
      <c r="BR496" s="66"/>
      <c r="BS496" s="66"/>
      <c r="BT496" s="66"/>
      <c r="BU496" s="66"/>
      <c r="BV496" s="66"/>
      <c r="BW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/>
      <c r="BJ498" s="66"/>
      <c r="BK498" s="66"/>
      <c r="BL498" s="66"/>
      <c r="BM498" s="66"/>
      <c r="BN498" s="66"/>
      <c r="BO498" s="66"/>
      <c r="BP498" s="66"/>
      <c r="BQ498" s="66"/>
      <c r="BR498" s="66"/>
      <c r="BS498" s="66"/>
      <c r="BT498" s="66"/>
      <c r="BU498" s="66"/>
      <c r="BV498" s="66"/>
      <c r="BW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/>
      <c r="BJ499" s="66"/>
      <c r="BK499" s="66"/>
      <c r="BL499" s="66"/>
      <c r="BM499" s="66"/>
      <c r="BN499" s="66"/>
      <c r="BO499" s="66"/>
      <c r="BP499" s="66"/>
      <c r="BQ499" s="66"/>
      <c r="BR499" s="66"/>
      <c r="BS499" s="66"/>
      <c r="BT499" s="66"/>
      <c r="BU499" s="66"/>
      <c r="BV499" s="66"/>
      <c r="BW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/>
      <c r="BJ500" s="66"/>
      <c r="BK500" s="66"/>
      <c r="BL500" s="66"/>
      <c r="BM500" s="66"/>
      <c r="BN500" s="66"/>
      <c r="BO500" s="66"/>
      <c r="BP500" s="66"/>
      <c r="BQ500" s="66"/>
      <c r="BR500" s="66"/>
      <c r="BS500" s="66"/>
      <c r="BT500" s="66"/>
      <c r="BU500" s="66"/>
      <c r="BV500" s="66"/>
      <c r="BW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/>
      <c r="BJ501" s="66"/>
      <c r="BK501" s="66"/>
      <c r="BL501" s="66"/>
      <c r="BM501" s="66"/>
      <c r="BN501" s="66"/>
      <c r="BO501" s="66"/>
      <c r="BP501" s="66"/>
      <c r="BQ501" s="66"/>
      <c r="BR501" s="66"/>
      <c r="BS501" s="66"/>
      <c r="BT501" s="66"/>
      <c r="BU501" s="66"/>
      <c r="BV501" s="66"/>
      <c r="BW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/>
      <c r="BJ502" s="66"/>
      <c r="BK502" s="66"/>
      <c r="BL502" s="66"/>
      <c r="BM502" s="66"/>
      <c r="BN502" s="66"/>
      <c r="BO502" s="66"/>
      <c r="BP502" s="66"/>
      <c r="BQ502" s="66"/>
      <c r="BR502" s="66"/>
      <c r="BS502" s="66"/>
      <c r="BT502" s="66"/>
      <c r="BU502" s="66"/>
      <c r="BV502" s="66"/>
      <c r="BW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  <c r="BF503" s="66"/>
      <c r="BG503" s="66"/>
      <c r="BH503" s="66"/>
      <c r="BI503" s="66"/>
      <c r="BJ503" s="66"/>
      <c r="BK503" s="66"/>
      <c r="BL503" s="66"/>
      <c r="BM503" s="66"/>
      <c r="BN503" s="66"/>
      <c r="BO503" s="66"/>
      <c r="BP503" s="66"/>
      <c r="BQ503" s="66"/>
      <c r="BR503" s="66"/>
      <c r="BS503" s="66"/>
      <c r="BT503" s="66"/>
      <c r="BU503" s="66"/>
      <c r="BV503" s="66"/>
      <c r="BW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66"/>
      <c r="BJ504" s="66"/>
      <c r="BK504" s="66"/>
      <c r="BL504" s="66"/>
      <c r="BM504" s="66"/>
      <c r="BN504" s="66"/>
      <c r="BO504" s="66"/>
      <c r="BP504" s="66"/>
      <c r="BQ504" s="66"/>
      <c r="BR504" s="66"/>
      <c r="BS504" s="66"/>
      <c r="BT504" s="66"/>
      <c r="BU504" s="66"/>
      <c r="BV504" s="66"/>
      <c r="BW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6"/>
      <c r="BF505" s="66"/>
      <c r="BG505" s="66"/>
      <c r="BH505" s="66"/>
      <c r="BI505" s="66"/>
      <c r="BJ505" s="66"/>
      <c r="BK505" s="66"/>
      <c r="BL505" s="66"/>
      <c r="BM505" s="66"/>
      <c r="BN505" s="66"/>
      <c r="BO505" s="66"/>
      <c r="BP505" s="66"/>
      <c r="BQ505" s="66"/>
      <c r="BR505" s="66"/>
      <c r="BS505" s="66"/>
      <c r="BT505" s="66"/>
      <c r="BU505" s="66"/>
      <c r="BV505" s="66"/>
      <c r="BW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  <c r="BF506" s="66"/>
      <c r="BG506" s="66"/>
      <c r="BH506" s="66"/>
      <c r="BI506" s="66"/>
      <c r="BJ506" s="66"/>
      <c r="BK506" s="66"/>
      <c r="BL506" s="66"/>
      <c r="BM506" s="66"/>
      <c r="BN506" s="66"/>
      <c r="BO506" s="66"/>
      <c r="BP506" s="66"/>
      <c r="BQ506" s="66"/>
      <c r="BR506" s="66"/>
      <c r="BS506" s="66"/>
      <c r="BT506" s="66"/>
      <c r="BU506" s="66"/>
      <c r="BV506" s="66"/>
      <c r="BW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  <c r="BF507" s="66"/>
      <c r="BG507" s="66"/>
      <c r="BH507" s="66"/>
      <c r="BI507" s="66"/>
      <c r="BJ507" s="66"/>
      <c r="BK507" s="66"/>
      <c r="BL507" s="66"/>
      <c r="BM507" s="66"/>
      <c r="BN507" s="66"/>
      <c r="BO507" s="66"/>
      <c r="BP507" s="66"/>
      <c r="BQ507" s="66"/>
      <c r="BR507" s="66"/>
      <c r="BS507" s="66"/>
      <c r="BT507" s="66"/>
      <c r="BU507" s="66"/>
      <c r="BV507" s="66"/>
      <c r="BW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/>
      <c r="BJ508" s="66"/>
      <c r="BK508" s="66"/>
      <c r="BL508" s="66"/>
      <c r="BM508" s="66"/>
      <c r="BN508" s="66"/>
      <c r="BO508" s="66"/>
      <c r="BP508" s="66"/>
      <c r="BQ508" s="66"/>
      <c r="BR508" s="66"/>
      <c r="BS508" s="66"/>
      <c r="BT508" s="66"/>
      <c r="BU508" s="66"/>
      <c r="BV508" s="66"/>
      <c r="BW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/>
      <c r="BJ509" s="66"/>
      <c r="BK509" s="66"/>
      <c r="BL509" s="66"/>
      <c r="BM509" s="66"/>
      <c r="BN509" s="66"/>
      <c r="BO509" s="66"/>
      <c r="BP509" s="66"/>
      <c r="BQ509" s="66"/>
      <c r="BR509" s="66"/>
      <c r="BS509" s="66"/>
      <c r="BT509" s="66"/>
      <c r="BU509" s="66"/>
      <c r="BV509" s="66"/>
      <c r="BW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66"/>
      <c r="BJ510" s="66"/>
      <c r="BK510" s="66"/>
      <c r="BL510" s="66"/>
      <c r="BM510" s="66"/>
      <c r="BN510" s="66"/>
      <c r="BO510" s="66"/>
      <c r="BP510" s="66"/>
      <c r="BQ510" s="66"/>
      <c r="BR510" s="66"/>
      <c r="BS510" s="66"/>
      <c r="BT510" s="66"/>
      <c r="BU510" s="66"/>
      <c r="BV510" s="66"/>
      <c r="BW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66"/>
      <c r="BJ511" s="66"/>
      <c r="BK511" s="66"/>
      <c r="BL511" s="66"/>
      <c r="BM511" s="66"/>
      <c r="BN511" s="66"/>
      <c r="BO511" s="66"/>
      <c r="BP511" s="66"/>
      <c r="BQ511" s="66"/>
      <c r="BR511" s="66"/>
      <c r="BS511" s="66"/>
      <c r="BT511" s="66"/>
      <c r="BU511" s="66"/>
      <c r="BV511" s="66"/>
      <c r="BW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66"/>
      <c r="BJ512" s="66"/>
      <c r="BK512" s="66"/>
      <c r="BL512" s="66"/>
      <c r="BM512" s="66"/>
      <c r="BN512" s="66"/>
      <c r="BO512" s="66"/>
      <c r="BP512" s="66"/>
      <c r="BQ512" s="66"/>
      <c r="BR512" s="66"/>
      <c r="BS512" s="66"/>
      <c r="BT512" s="66"/>
      <c r="BU512" s="66"/>
      <c r="BV512" s="66"/>
      <c r="BW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66"/>
      <c r="BJ513" s="66"/>
      <c r="BK513" s="66"/>
      <c r="BL513" s="66"/>
      <c r="BM513" s="66"/>
      <c r="BN513" s="66"/>
      <c r="BO513" s="66"/>
      <c r="BP513" s="66"/>
      <c r="BQ513" s="66"/>
      <c r="BR513" s="66"/>
      <c r="BS513" s="66"/>
      <c r="BT513" s="66"/>
      <c r="BU513" s="66"/>
      <c r="BV513" s="66"/>
      <c r="BW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6"/>
      <c r="BF514" s="66"/>
      <c r="BG514" s="66"/>
      <c r="BH514" s="66"/>
      <c r="BI514" s="66"/>
      <c r="BJ514" s="66"/>
      <c r="BK514" s="66"/>
      <c r="BL514" s="66"/>
      <c r="BM514" s="66"/>
      <c r="BN514" s="66"/>
      <c r="BO514" s="66"/>
      <c r="BP514" s="66"/>
      <c r="BQ514" s="66"/>
      <c r="BR514" s="66"/>
      <c r="BS514" s="66"/>
      <c r="BT514" s="66"/>
      <c r="BU514" s="66"/>
      <c r="BV514" s="66"/>
      <c r="BW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  <c r="BF515" s="66"/>
      <c r="BG515" s="66"/>
      <c r="BH515" s="66"/>
      <c r="BI515" s="66"/>
      <c r="BJ515" s="66"/>
      <c r="BK515" s="66"/>
      <c r="BL515" s="66"/>
      <c r="BM515" s="66"/>
      <c r="BN515" s="66"/>
      <c r="BO515" s="66"/>
      <c r="BP515" s="66"/>
      <c r="BQ515" s="66"/>
      <c r="BR515" s="66"/>
      <c r="BS515" s="66"/>
      <c r="BT515" s="66"/>
      <c r="BU515" s="66"/>
      <c r="BV515" s="66"/>
      <c r="BW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66"/>
      <c r="BJ516" s="66"/>
      <c r="BK516" s="66"/>
      <c r="BL516" s="66"/>
      <c r="BM516" s="66"/>
      <c r="BN516" s="66"/>
      <c r="BO516" s="66"/>
      <c r="BP516" s="66"/>
      <c r="BQ516" s="66"/>
      <c r="BR516" s="66"/>
      <c r="BS516" s="66"/>
      <c r="BT516" s="66"/>
      <c r="BU516" s="66"/>
      <c r="BV516" s="66"/>
      <c r="BW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66"/>
      <c r="BJ517" s="66"/>
      <c r="BK517" s="66"/>
      <c r="BL517" s="66"/>
      <c r="BM517" s="66"/>
      <c r="BN517" s="66"/>
      <c r="BO517" s="66"/>
      <c r="BP517" s="66"/>
      <c r="BQ517" s="66"/>
      <c r="BR517" s="66"/>
      <c r="BS517" s="66"/>
      <c r="BT517" s="66"/>
      <c r="BU517" s="66"/>
      <c r="BV517" s="66"/>
      <c r="BW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  <c r="BT518" s="66"/>
      <c r="BU518" s="66"/>
      <c r="BV518" s="66"/>
      <c r="BW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/>
      <c r="BJ519" s="66"/>
      <c r="BK519" s="66"/>
      <c r="BL519" s="66"/>
      <c r="BM519" s="66"/>
      <c r="BN519" s="66"/>
      <c r="BO519" s="66"/>
      <c r="BP519" s="66"/>
      <c r="BQ519" s="66"/>
      <c r="BR519" s="66"/>
      <c r="BS519" s="66"/>
      <c r="BT519" s="66"/>
      <c r="BU519" s="66"/>
      <c r="BV519" s="66"/>
      <c r="BW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/>
      <c r="BJ520" s="66"/>
      <c r="BK520" s="66"/>
      <c r="BL520" s="66"/>
      <c r="BM520" s="66"/>
      <c r="BN520" s="66"/>
      <c r="BO520" s="66"/>
      <c r="BP520" s="66"/>
      <c r="BQ520" s="66"/>
      <c r="BR520" s="66"/>
      <c r="BS520" s="66"/>
      <c r="BT520" s="66"/>
      <c r="BU520" s="66"/>
      <c r="BV520" s="66"/>
      <c r="BW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/>
      <c r="BJ521" s="66"/>
      <c r="BK521" s="66"/>
      <c r="BL521" s="66"/>
      <c r="BM521" s="66"/>
      <c r="BN521" s="66"/>
      <c r="BO521" s="66"/>
      <c r="BP521" s="66"/>
      <c r="BQ521" s="66"/>
      <c r="BR521" s="66"/>
      <c r="BS521" s="66"/>
      <c r="BT521" s="66"/>
      <c r="BU521" s="66"/>
      <c r="BV521" s="66"/>
      <c r="BW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66"/>
      <c r="BJ522" s="66"/>
      <c r="BK522" s="66"/>
      <c r="BL522" s="66"/>
      <c r="BM522" s="66"/>
      <c r="BN522" s="66"/>
      <c r="BO522" s="66"/>
      <c r="BP522" s="66"/>
      <c r="BQ522" s="66"/>
      <c r="BR522" s="66"/>
      <c r="BS522" s="66"/>
      <c r="BT522" s="66"/>
      <c r="BU522" s="66"/>
      <c r="BV522" s="66"/>
      <c r="BW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66"/>
      <c r="BJ523" s="66"/>
      <c r="BK523" s="66"/>
      <c r="BL523" s="66"/>
      <c r="BM523" s="66"/>
      <c r="BN523" s="66"/>
      <c r="BO523" s="66"/>
      <c r="BP523" s="66"/>
      <c r="BQ523" s="66"/>
      <c r="BR523" s="66"/>
      <c r="BS523" s="66"/>
      <c r="BT523" s="66"/>
      <c r="BU523" s="66"/>
      <c r="BV523" s="66"/>
      <c r="BW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/>
      <c r="BJ524" s="66"/>
      <c r="BK524" s="66"/>
      <c r="BL524" s="66"/>
      <c r="BM524" s="66"/>
      <c r="BN524" s="66"/>
      <c r="BO524" s="66"/>
      <c r="BP524" s="66"/>
      <c r="BQ524" s="66"/>
      <c r="BR524" s="66"/>
      <c r="BS524" s="66"/>
      <c r="BT524" s="66"/>
      <c r="BU524" s="66"/>
      <c r="BV524" s="66"/>
      <c r="BW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66"/>
      <c r="BJ525" s="66"/>
      <c r="BK525" s="66"/>
      <c r="BL525" s="66"/>
      <c r="BM525" s="66"/>
      <c r="BN525" s="66"/>
      <c r="BO525" s="66"/>
      <c r="BP525" s="66"/>
      <c r="BQ525" s="66"/>
      <c r="BR525" s="66"/>
      <c r="BS525" s="66"/>
      <c r="BT525" s="66"/>
      <c r="BU525" s="66"/>
      <c r="BV525" s="66"/>
      <c r="BW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66"/>
      <c r="BJ526" s="66"/>
      <c r="BK526" s="66"/>
      <c r="BL526" s="66"/>
      <c r="BM526" s="66"/>
      <c r="BN526" s="66"/>
      <c r="BO526" s="66"/>
      <c r="BP526" s="66"/>
      <c r="BQ526" s="66"/>
      <c r="BR526" s="66"/>
      <c r="BS526" s="66"/>
      <c r="BT526" s="66"/>
      <c r="BU526" s="66"/>
      <c r="BV526" s="66"/>
      <c r="BW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/>
      <c r="BJ527" s="66"/>
      <c r="BK527" s="66"/>
      <c r="BL527" s="66"/>
      <c r="BM527" s="66"/>
      <c r="BN527" s="66"/>
      <c r="BO527" s="66"/>
      <c r="BP527" s="66"/>
      <c r="BQ527" s="66"/>
      <c r="BR527" s="66"/>
      <c r="BS527" s="66"/>
      <c r="BT527" s="66"/>
      <c r="BU527" s="66"/>
      <c r="BV527" s="66"/>
      <c r="BW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  <c r="BT528" s="66"/>
      <c r="BU528" s="66"/>
      <c r="BV528" s="66"/>
      <c r="BW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66"/>
      <c r="BJ529" s="66"/>
      <c r="BK529" s="66"/>
      <c r="BL529" s="66"/>
      <c r="BM529" s="66"/>
      <c r="BN529" s="66"/>
      <c r="BO529" s="66"/>
      <c r="BP529" s="66"/>
      <c r="BQ529" s="66"/>
      <c r="BR529" s="66"/>
      <c r="BS529" s="66"/>
      <c r="BT529" s="66"/>
      <c r="BU529" s="66"/>
      <c r="BV529" s="66"/>
      <c r="BW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66"/>
      <c r="BJ530" s="66"/>
      <c r="BK530" s="66"/>
      <c r="BL530" s="66"/>
      <c r="BM530" s="66"/>
      <c r="BN530" s="66"/>
      <c r="BO530" s="66"/>
      <c r="BP530" s="66"/>
      <c r="BQ530" s="66"/>
      <c r="BR530" s="66"/>
      <c r="BS530" s="66"/>
      <c r="BT530" s="66"/>
      <c r="BU530" s="66"/>
      <c r="BV530" s="66"/>
      <c r="BW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/>
      <c r="BJ531" s="66"/>
      <c r="BK531" s="66"/>
      <c r="BL531" s="66"/>
      <c r="BM531" s="66"/>
      <c r="BN531" s="66"/>
      <c r="BO531" s="66"/>
      <c r="BP531" s="66"/>
      <c r="BQ531" s="66"/>
      <c r="BR531" s="66"/>
      <c r="BS531" s="66"/>
      <c r="BT531" s="66"/>
      <c r="BU531" s="66"/>
      <c r="BV531" s="66"/>
      <c r="BW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66"/>
      <c r="BJ532" s="66"/>
      <c r="BK532" s="66"/>
      <c r="BL532" s="66"/>
      <c r="BM532" s="66"/>
      <c r="BN532" s="66"/>
      <c r="BO532" s="66"/>
      <c r="BP532" s="66"/>
      <c r="BQ532" s="66"/>
      <c r="BR532" s="66"/>
      <c r="BS532" s="66"/>
      <c r="BT532" s="66"/>
      <c r="BU532" s="66"/>
      <c r="BV532" s="66"/>
      <c r="BW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66"/>
      <c r="BJ533" s="66"/>
      <c r="BK533" s="66"/>
      <c r="BL533" s="66"/>
      <c r="BM533" s="66"/>
      <c r="BN533" s="66"/>
      <c r="BO533" s="66"/>
      <c r="BP533" s="66"/>
      <c r="BQ533" s="66"/>
      <c r="BR533" s="66"/>
      <c r="BS533" s="66"/>
      <c r="BT533" s="66"/>
      <c r="BU533" s="66"/>
      <c r="BV533" s="66"/>
      <c r="BW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/>
      <c r="BJ534" s="66"/>
      <c r="BK534" s="66"/>
      <c r="BL534" s="66"/>
      <c r="BM534" s="66"/>
      <c r="BN534" s="66"/>
      <c r="BO534" s="66"/>
      <c r="BP534" s="66"/>
      <c r="BQ534" s="66"/>
      <c r="BR534" s="66"/>
      <c r="BS534" s="66"/>
      <c r="BT534" s="66"/>
      <c r="BU534" s="66"/>
      <c r="BV534" s="66"/>
      <c r="BW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/>
      <c r="BJ535" s="66"/>
      <c r="BK535" s="66"/>
      <c r="BL535" s="66"/>
      <c r="BM535" s="66"/>
      <c r="BN535" s="66"/>
      <c r="BO535" s="66"/>
      <c r="BP535" s="66"/>
      <c r="BQ535" s="66"/>
      <c r="BR535" s="66"/>
      <c r="BS535" s="66"/>
      <c r="BT535" s="66"/>
      <c r="BU535" s="66"/>
      <c r="BV535" s="66"/>
      <c r="BW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66"/>
      <c r="BJ536" s="66"/>
      <c r="BK536" s="66"/>
      <c r="BL536" s="66"/>
      <c r="BM536" s="66"/>
      <c r="BN536" s="66"/>
      <c r="BO536" s="66"/>
      <c r="BP536" s="66"/>
      <c r="BQ536" s="66"/>
      <c r="BR536" s="66"/>
      <c r="BS536" s="66"/>
      <c r="BT536" s="66"/>
      <c r="BU536" s="66"/>
      <c r="BV536" s="66"/>
      <c r="BW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66"/>
      <c r="BJ537" s="66"/>
      <c r="BK537" s="66"/>
      <c r="BL537" s="66"/>
      <c r="BM537" s="66"/>
      <c r="BN537" s="66"/>
      <c r="BO537" s="66"/>
      <c r="BP537" s="66"/>
      <c r="BQ537" s="66"/>
      <c r="BR537" s="66"/>
      <c r="BS537" s="66"/>
      <c r="BT537" s="66"/>
      <c r="BU537" s="66"/>
      <c r="BV537" s="66"/>
      <c r="BW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  <c r="BT538" s="66"/>
      <c r="BU538" s="66"/>
      <c r="BV538" s="66"/>
      <c r="BW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  <c r="BF539" s="66"/>
      <c r="BG539" s="66"/>
      <c r="BH539" s="66"/>
      <c r="BI539" s="66"/>
      <c r="BJ539" s="66"/>
      <c r="BK539" s="66"/>
      <c r="BL539" s="66"/>
      <c r="BM539" s="66"/>
      <c r="BN539" s="66"/>
      <c r="BO539" s="66"/>
      <c r="BP539" s="66"/>
      <c r="BQ539" s="66"/>
      <c r="BR539" s="66"/>
      <c r="BS539" s="66"/>
      <c r="BT539" s="66"/>
      <c r="BU539" s="66"/>
      <c r="BV539" s="66"/>
      <c r="BW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  <c r="BF540" s="66"/>
      <c r="BG540" s="66"/>
      <c r="BH540" s="66"/>
      <c r="BI540" s="66"/>
      <c r="BJ540" s="66"/>
      <c r="BK540" s="66"/>
      <c r="BL540" s="66"/>
      <c r="BM540" s="66"/>
      <c r="BN540" s="66"/>
      <c r="BO540" s="66"/>
      <c r="BP540" s="66"/>
      <c r="BQ540" s="66"/>
      <c r="BR540" s="66"/>
      <c r="BS540" s="66"/>
      <c r="BT540" s="66"/>
      <c r="BU540" s="66"/>
      <c r="BV540" s="66"/>
      <c r="BW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  <c r="BF541" s="66"/>
      <c r="BG541" s="66"/>
      <c r="BH541" s="66"/>
      <c r="BI541" s="66"/>
      <c r="BJ541" s="66"/>
      <c r="BK541" s="66"/>
      <c r="BL541" s="66"/>
      <c r="BM541" s="66"/>
      <c r="BN541" s="66"/>
      <c r="BO541" s="66"/>
      <c r="BP541" s="66"/>
      <c r="BQ541" s="66"/>
      <c r="BR541" s="66"/>
      <c r="BS541" s="66"/>
      <c r="BT541" s="66"/>
      <c r="BU541" s="66"/>
      <c r="BV541" s="66"/>
      <c r="BW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/>
      <c r="BJ542" s="66"/>
      <c r="BK542" s="66"/>
      <c r="BL542" s="66"/>
      <c r="BM542" s="66"/>
      <c r="BN542" s="66"/>
      <c r="BO542" s="66"/>
      <c r="BP542" s="66"/>
      <c r="BQ542" s="66"/>
      <c r="BR542" s="66"/>
      <c r="BS542" s="66"/>
      <c r="BT542" s="66"/>
      <c r="BU542" s="66"/>
      <c r="BV542" s="66"/>
      <c r="BW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  <c r="BF543" s="66"/>
      <c r="BG543" s="66"/>
      <c r="BH543" s="66"/>
      <c r="BI543" s="66"/>
      <c r="BJ543" s="66"/>
      <c r="BK543" s="66"/>
      <c r="BL543" s="66"/>
      <c r="BM543" s="66"/>
      <c r="BN543" s="66"/>
      <c r="BO543" s="66"/>
      <c r="BP543" s="66"/>
      <c r="BQ543" s="66"/>
      <c r="BR543" s="66"/>
      <c r="BS543" s="66"/>
      <c r="BT543" s="66"/>
      <c r="BU543" s="66"/>
      <c r="BV543" s="66"/>
      <c r="BW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66"/>
      <c r="BJ544" s="66"/>
      <c r="BK544" s="66"/>
      <c r="BL544" s="66"/>
      <c r="BM544" s="66"/>
      <c r="BN544" s="66"/>
      <c r="BO544" s="66"/>
      <c r="BP544" s="66"/>
      <c r="BQ544" s="66"/>
      <c r="BR544" s="66"/>
      <c r="BS544" s="66"/>
      <c r="BT544" s="66"/>
      <c r="BU544" s="66"/>
      <c r="BV544" s="66"/>
      <c r="BW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66"/>
      <c r="BJ545" s="66"/>
      <c r="BK545" s="66"/>
      <c r="BL545" s="66"/>
      <c r="BM545" s="66"/>
      <c r="BN545" s="66"/>
      <c r="BO545" s="66"/>
      <c r="BP545" s="66"/>
      <c r="BQ545" s="66"/>
      <c r="BR545" s="66"/>
      <c r="BS545" s="66"/>
      <c r="BT545" s="66"/>
      <c r="BU545" s="66"/>
      <c r="BV545" s="66"/>
      <c r="BW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66"/>
      <c r="BJ546" s="66"/>
      <c r="BK546" s="66"/>
      <c r="BL546" s="66"/>
      <c r="BM546" s="66"/>
      <c r="BN546" s="66"/>
      <c r="BO546" s="66"/>
      <c r="BP546" s="66"/>
      <c r="BQ546" s="66"/>
      <c r="BR546" s="66"/>
      <c r="BS546" s="66"/>
      <c r="BT546" s="66"/>
      <c r="BU546" s="66"/>
      <c r="BV546" s="66"/>
      <c r="BW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  <c r="BF547" s="66"/>
      <c r="BG547" s="66"/>
      <c r="BH547" s="66"/>
      <c r="BI547" s="66"/>
      <c r="BJ547" s="66"/>
      <c r="BK547" s="66"/>
      <c r="BL547" s="66"/>
      <c r="BM547" s="66"/>
      <c r="BN547" s="66"/>
      <c r="BO547" s="66"/>
      <c r="BP547" s="66"/>
      <c r="BQ547" s="66"/>
      <c r="BR547" s="66"/>
      <c r="BS547" s="66"/>
      <c r="BT547" s="66"/>
      <c r="BU547" s="66"/>
      <c r="BV547" s="66"/>
      <c r="BW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  <c r="BF548" s="66"/>
      <c r="BG548" s="66"/>
      <c r="BH548" s="66"/>
      <c r="BI548" s="66"/>
      <c r="BJ548" s="66"/>
      <c r="BK548" s="66"/>
      <c r="BL548" s="66"/>
      <c r="BM548" s="66"/>
      <c r="BN548" s="66"/>
      <c r="BO548" s="66"/>
      <c r="BP548" s="66"/>
      <c r="BQ548" s="66"/>
      <c r="BR548" s="66"/>
      <c r="BS548" s="66"/>
      <c r="BT548" s="66"/>
      <c r="BU548" s="66"/>
      <c r="BV548" s="66"/>
      <c r="BW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  <c r="BD549" s="66"/>
      <c r="BE549" s="66"/>
      <c r="BF549" s="66"/>
      <c r="BG549" s="66"/>
      <c r="BH549" s="66"/>
      <c r="BI549" s="66"/>
      <c r="BJ549" s="66"/>
      <c r="BK549" s="66"/>
      <c r="BL549" s="66"/>
      <c r="BM549" s="66"/>
      <c r="BN549" s="66"/>
      <c r="BO549" s="66"/>
      <c r="BP549" s="66"/>
      <c r="BQ549" s="66"/>
      <c r="BR549" s="66"/>
      <c r="BS549" s="66"/>
      <c r="BT549" s="66"/>
      <c r="BU549" s="66"/>
      <c r="BV549" s="66"/>
      <c r="BW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  <c r="BF550" s="66"/>
      <c r="BG550" s="66"/>
      <c r="BH550" s="66"/>
      <c r="BI550" s="66"/>
      <c r="BJ550" s="66"/>
      <c r="BK550" s="66"/>
      <c r="BL550" s="66"/>
      <c r="BM550" s="66"/>
      <c r="BN550" s="66"/>
      <c r="BO550" s="66"/>
      <c r="BP550" s="66"/>
      <c r="BQ550" s="66"/>
      <c r="BR550" s="66"/>
      <c r="BS550" s="66"/>
      <c r="BT550" s="66"/>
      <c r="BU550" s="66"/>
      <c r="BV550" s="66"/>
      <c r="BW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  <c r="BD551" s="66"/>
      <c r="BE551" s="66"/>
      <c r="BF551" s="66"/>
      <c r="BG551" s="66"/>
      <c r="BH551" s="66"/>
      <c r="BI551" s="66"/>
      <c r="BJ551" s="66"/>
      <c r="BK551" s="66"/>
      <c r="BL551" s="66"/>
      <c r="BM551" s="66"/>
      <c r="BN551" s="66"/>
      <c r="BO551" s="66"/>
      <c r="BP551" s="66"/>
      <c r="BQ551" s="66"/>
      <c r="BR551" s="66"/>
      <c r="BS551" s="66"/>
      <c r="BT551" s="66"/>
      <c r="BU551" s="66"/>
      <c r="BV551" s="66"/>
      <c r="BW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  <c r="BF552" s="66"/>
      <c r="BG552" s="66"/>
      <c r="BH552" s="66"/>
      <c r="BI552" s="66"/>
      <c r="BJ552" s="66"/>
      <c r="BK552" s="66"/>
      <c r="BL552" s="66"/>
      <c r="BM552" s="66"/>
      <c r="BN552" s="66"/>
      <c r="BO552" s="66"/>
      <c r="BP552" s="66"/>
      <c r="BQ552" s="66"/>
      <c r="BR552" s="66"/>
      <c r="BS552" s="66"/>
      <c r="BT552" s="66"/>
      <c r="BU552" s="66"/>
      <c r="BV552" s="66"/>
      <c r="BW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  <c r="BF553" s="66"/>
      <c r="BG553" s="66"/>
      <c r="BH553" s="66"/>
      <c r="BI553" s="66"/>
      <c r="BJ553" s="66"/>
      <c r="BK553" s="66"/>
      <c r="BL553" s="66"/>
      <c r="BM553" s="66"/>
      <c r="BN553" s="66"/>
      <c r="BO553" s="66"/>
      <c r="BP553" s="66"/>
      <c r="BQ553" s="66"/>
      <c r="BR553" s="66"/>
      <c r="BS553" s="66"/>
      <c r="BT553" s="66"/>
      <c r="BU553" s="66"/>
      <c r="BV553" s="66"/>
      <c r="BW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/>
      <c r="BJ554" s="66"/>
      <c r="BK554" s="66"/>
      <c r="BL554" s="66"/>
      <c r="BM554" s="66"/>
      <c r="BN554" s="66"/>
      <c r="BO554" s="66"/>
      <c r="BP554" s="66"/>
      <c r="BQ554" s="66"/>
      <c r="BR554" s="66"/>
      <c r="BS554" s="66"/>
      <c r="BT554" s="66"/>
      <c r="BU554" s="66"/>
      <c r="BV554" s="66"/>
      <c r="BW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/>
      <c r="BJ555" s="66"/>
      <c r="BK555" s="66"/>
      <c r="BL555" s="66"/>
      <c r="BM555" s="66"/>
      <c r="BN555" s="66"/>
      <c r="BO555" s="66"/>
      <c r="BP555" s="66"/>
      <c r="BQ555" s="66"/>
      <c r="BR555" s="66"/>
      <c r="BS555" s="66"/>
      <c r="BT555" s="66"/>
      <c r="BU555" s="66"/>
      <c r="BV555" s="66"/>
      <c r="BW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/>
      <c r="BJ556" s="66"/>
      <c r="BK556" s="66"/>
      <c r="BL556" s="66"/>
      <c r="BM556" s="66"/>
      <c r="BN556" s="66"/>
      <c r="BO556" s="66"/>
      <c r="BP556" s="66"/>
      <c r="BQ556" s="66"/>
      <c r="BR556" s="66"/>
      <c r="BS556" s="66"/>
      <c r="BT556" s="66"/>
      <c r="BU556" s="66"/>
      <c r="BV556" s="66"/>
      <c r="BW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/>
      <c r="BJ557" s="66"/>
      <c r="BK557" s="66"/>
      <c r="BL557" s="66"/>
      <c r="BM557" s="66"/>
      <c r="BN557" s="66"/>
      <c r="BO557" s="66"/>
      <c r="BP557" s="66"/>
      <c r="BQ557" s="66"/>
      <c r="BR557" s="66"/>
      <c r="BS557" s="66"/>
      <c r="BT557" s="66"/>
      <c r="BU557" s="66"/>
      <c r="BV557" s="66"/>
      <c r="BW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  <c r="BF558" s="66"/>
      <c r="BG558" s="66"/>
      <c r="BH558" s="66"/>
      <c r="BI558" s="66"/>
      <c r="BJ558" s="66"/>
      <c r="BK558" s="66"/>
      <c r="BL558" s="66"/>
      <c r="BM558" s="66"/>
      <c r="BN558" s="66"/>
      <c r="BO558" s="66"/>
      <c r="BP558" s="66"/>
      <c r="BQ558" s="66"/>
      <c r="BR558" s="66"/>
      <c r="BS558" s="66"/>
      <c r="BT558" s="66"/>
      <c r="BU558" s="66"/>
      <c r="BV558" s="66"/>
      <c r="BW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/>
      <c r="BJ559" s="66"/>
      <c r="BK559" s="66"/>
      <c r="BL559" s="66"/>
      <c r="BM559" s="66"/>
      <c r="BN559" s="66"/>
      <c r="BO559" s="66"/>
      <c r="BP559" s="66"/>
      <c r="BQ559" s="66"/>
      <c r="BR559" s="66"/>
      <c r="BS559" s="66"/>
      <c r="BT559" s="66"/>
      <c r="BU559" s="66"/>
      <c r="BV559" s="66"/>
      <c r="BW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/>
      <c r="BJ560" s="66"/>
      <c r="BK560" s="66"/>
      <c r="BL560" s="66"/>
      <c r="BM560" s="66"/>
      <c r="BN560" s="66"/>
      <c r="BO560" s="66"/>
      <c r="BP560" s="66"/>
      <c r="BQ560" s="66"/>
      <c r="BR560" s="66"/>
      <c r="BS560" s="66"/>
      <c r="BT560" s="66"/>
      <c r="BU560" s="66"/>
      <c r="BV560" s="66"/>
      <c r="BW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/>
      <c r="BJ561" s="66"/>
      <c r="BK561" s="66"/>
      <c r="BL561" s="66"/>
      <c r="BM561" s="66"/>
      <c r="BN561" s="66"/>
      <c r="BO561" s="66"/>
      <c r="BP561" s="66"/>
      <c r="BQ561" s="66"/>
      <c r="BR561" s="66"/>
      <c r="BS561" s="66"/>
      <c r="BT561" s="66"/>
      <c r="BU561" s="66"/>
      <c r="BV561" s="66"/>
      <c r="BW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/>
      <c r="BJ562" s="66"/>
      <c r="BK562" s="66"/>
      <c r="BL562" s="66"/>
      <c r="BM562" s="66"/>
      <c r="BN562" s="66"/>
      <c r="BO562" s="66"/>
      <c r="BP562" s="66"/>
      <c r="BQ562" s="66"/>
      <c r="BR562" s="66"/>
      <c r="BS562" s="66"/>
      <c r="BT562" s="66"/>
      <c r="BU562" s="66"/>
      <c r="BV562" s="66"/>
      <c r="BW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/>
      <c r="BJ563" s="66"/>
      <c r="BK563" s="66"/>
      <c r="BL563" s="66"/>
      <c r="BM563" s="66"/>
      <c r="BN563" s="66"/>
      <c r="BO563" s="66"/>
      <c r="BP563" s="66"/>
      <c r="BQ563" s="66"/>
      <c r="BR563" s="66"/>
      <c r="BS563" s="66"/>
      <c r="BT563" s="66"/>
      <c r="BU563" s="66"/>
      <c r="BV563" s="66"/>
      <c r="BW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/>
      <c r="BJ564" s="66"/>
      <c r="BK564" s="66"/>
      <c r="BL564" s="66"/>
      <c r="BM564" s="66"/>
      <c r="BN564" s="66"/>
      <c r="BO564" s="66"/>
      <c r="BP564" s="66"/>
      <c r="BQ564" s="66"/>
      <c r="BR564" s="66"/>
      <c r="BS564" s="66"/>
      <c r="BT564" s="66"/>
      <c r="BU564" s="66"/>
      <c r="BV564" s="66"/>
      <c r="BW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  <c r="BF565" s="66"/>
      <c r="BG565" s="66"/>
      <c r="BH565" s="66"/>
      <c r="BI565" s="66"/>
      <c r="BJ565" s="66"/>
      <c r="BK565" s="66"/>
      <c r="BL565" s="66"/>
      <c r="BM565" s="66"/>
      <c r="BN565" s="66"/>
      <c r="BO565" s="66"/>
      <c r="BP565" s="66"/>
      <c r="BQ565" s="66"/>
      <c r="BR565" s="66"/>
      <c r="BS565" s="66"/>
      <c r="BT565" s="66"/>
      <c r="BU565" s="66"/>
      <c r="BV565" s="66"/>
      <c r="BW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  <c r="BF566" s="66"/>
      <c r="BG566" s="66"/>
      <c r="BH566" s="66"/>
      <c r="BI566" s="66"/>
      <c r="BJ566" s="66"/>
      <c r="BK566" s="66"/>
      <c r="BL566" s="66"/>
      <c r="BM566" s="66"/>
      <c r="BN566" s="66"/>
      <c r="BO566" s="66"/>
      <c r="BP566" s="66"/>
      <c r="BQ566" s="66"/>
      <c r="BR566" s="66"/>
      <c r="BS566" s="66"/>
      <c r="BT566" s="66"/>
      <c r="BU566" s="66"/>
      <c r="BV566" s="66"/>
      <c r="BW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/>
      <c r="BJ567" s="66"/>
      <c r="BK567" s="66"/>
      <c r="BL567" s="66"/>
      <c r="BM567" s="66"/>
      <c r="BN567" s="66"/>
      <c r="BO567" s="66"/>
      <c r="BP567" s="66"/>
      <c r="BQ567" s="66"/>
      <c r="BR567" s="66"/>
      <c r="BS567" s="66"/>
      <c r="BT567" s="66"/>
      <c r="BU567" s="66"/>
      <c r="BV567" s="66"/>
      <c r="BW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  <c r="BF568" s="66"/>
      <c r="BG568" s="66"/>
      <c r="BH568" s="66"/>
      <c r="BI568" s="66"/>
      <c r="BJ568" s="66"/>
      <c r="BK568" s="66"/>
      <c r="BL568" s="66"/>
      <c r="BM568" s="66"/>
      <c r="BN568" s="66"/>
      <c r="BO568" s="66"/>
      <c r="BP568" s="66"/>
      <c r="BQ568" s="66"/>
      <c r="BR568" s="66"/>
      <c r="BS568" s="66"/>
      <c r="BT568" s="66"/>
      <c r="BU568" s="66"/>
      <c r="BV568" s="66"/>
      <c r="BW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/>
      <c r="BJ569" s="66"/>
      <c r="BK569" s="66"/>
      <c r="BL569" s="66"/>
      <c r="BM569" s="66"/>
      <c r="BN569" s="66"/>
      <c r="BO569" s="66"/>
      <c r="BP569" s="66"/>
      <c r="BQ569" s="66"/>
      <c r="BR569" s="66"/>
      <c r="BS569" s="66"/>
      <c r="BT569" s="66"/>
      <c r="BU569" s="66"/>
      <c r="BV569" s="66"/>
      <c r="BW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/>
      <c r="BJ570" s="66"/>
      <c r="BK570" s="66"/>
      <c r="BL570" s="66"/>
      <c r="BM570" s="66"/>
      <c r="BN570" s="66"/>
      <c r="BO570" s="66"/>
      <c r="BP570" s="66"/>
      <c r="BQ570" s="66"/>
      <c r="BR570" s="66"/>
      <c r="BS570" s="66"/>
      <c r="BT570" s="66"/>
      <c r="BU570" s="66"/>
      <c r="BV570" s="66"/>
      <c r="BW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  <c r="BF571" s="66"/>
      <c r="BG571" s="66"/>
      <c r="BH571" s="66"/>
      <c r="BI571" s="66"/>
      <c r="BJ571" s="66"/>
      <c r="BK571" s="66"/>
      <c r="BL571" s="66"/>
      <c r="BM571" s="66"/>
      <c r="BN571" s="66"/>
      <c r="BO571" s="66"/>
      <c r="BP571" s="66"/>
      <c r="BQ571" s="66"/>
      <c r="BR571" s="66"/>
      <c r="BS571" s="66"/>
      <c r="BT571" s="66"/>
      <c r="BU571" s="66"/>
      <c r="BV571" s="66"/>
      <c r="BW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  <c r="BF572" s="66"/>
      <c r="BG572" s="66"/>
      <c r="BH572" s="66"/>
      <c r="BI572" s="66"/>
      <c r="BJ572" s="66"/>
      <c r="BK572" s="66"/>
      <c r="BL572" s="66"/>
      <c r="BM572" s="66"/>
      <c r="BN572" s="66"/>
      <c r="BO572" s="66"/>
      <c r="BP572" s="66"/>
      <c r="BQ572" s="66"/>
      <c r="BR572" s="66"/>
      <c r="BS572" s="66"/>
      <c r="BT572" s="66"/>
      <c r="BU572" s="66"/>
      <c r="BV572" s="66"/>
      <c r="BW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/>
      <c r="BJ573" s="66"/>
      <c r="BK573" s="66"/>
      <c r="BL573" s="66"/>
      <c r="BM573" s="66"/>
      <c r="BN573" s="66"/>
      <c r="BO573" s="66"/>
      <c r="BP573" s="66"/>
      <c r="BQ573" s="66"/>
      <c r="BR573" s="66"/>
      <c r="BS573" s="66"/>
      <c r="BT573" s="66"/>
      <c r="BU573" s="66"/>
      <c r="BV573" s="66"/>
      <c r="BW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  <c r="BF574" s="66"/>
      <c r="BG574" s="66"/>
      <c r="BH574" s="66"/>
      <c r="BI574" s="66"/>
      <c r="BJ574" s="66"/>
      <c r="BK574" s="66"/>
      <c r="BL574" s="66"/>
      <c r="BM574" s="66"/>
      <c r="BN574" s="66"/>
      <c r="BO574" s="66"/>
      <c r="BP574" s="66"/>
      <c r="BQ574" s="66"/>
      <c r="BR574" s="66"/>
      <c r="BS574" s="66"/>
      <c r="BT574" s="66"/>
      <c r="BU574" s="66"/>
      <c r="BV574" s="66"/>
      <c r="BW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/>
      <c r="BJ575" s="66"/>
      <c r="BK575" s="66"/>
      <c r="BL575" s="66"/>
      <c r="BM575" s="66"/>
      <c r="BN575" s="66"/>
      <c r="BO575" s="66"/>
      <c r="BP575" s="66"/>
      <c r="BQ575" s="66"/>
      <c r="BR575" s="66"/>
      <c r="BS575" s="66"/>
      <c r="BT575" s="66"/>
      <c r="BU575" s="66"/>
      <c r="BV575" s="66"/>
      <c r="BW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  <c r="BD576" s="66"/>
      <c r="BE576" s="66"/>
      <c r="BF576" s="66"/>
      <c r="BG576" s="66"/>
      <c r="BH576" s="66"/>
      <c r="BI576" s="66"/>
      <c r="BJ576" s="66"/>
      <c r="BK576" s="66"/>
      <c r="BL576" s="66"/>
      <c r="BM576" s="66"/>
      <c r="BN576" s="66"/>
      <c r="BO576" s="66"/>
      <c r="BP576" s="66"/>
      <c r="BQ576" s="66"/>
      <c r="BR576" s="66"/>
      <c r="BS576" s="66"/>
      <c r="BT576" s="66"/>
      <c r="BU576" s="66"/>
      <c r="BV576" s="66"/>
      <c r="BW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  <c r="BF577" s="66"/>
      <c r="BG577" s="66"/>
      <c r="BH577" s="66"/>
      <c r="BI577" s="66"/>
      <c r="BJ577" s="66"/>
      <c r="BK577" s="66"/>
      <c r="BL577" s="66"/>
      <c r="BM577" s="66"/>
      <c r="BN577" s="66"/>
      <c r="BO577" s="66"/>
      <c r="BP577" s="66"/>
      <c r="BQ577" s="66"/>
      <c r="BR577" s="66"/>
      <c r="BS577" s="66"/>
      <c r="BT577" s="66"/>
      <c r="BU577" s="66"/>
      <c r="BV577" s="66"/>
      <c r="BW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  <c r="BD578" s="66"/>
      <c r="BE578" s="66"/>
      <c r="BF578" s="66"/>
      <c r="BG578" s="66"/>
      <c r="BH578" s="66"/>
      <c r="BI578" s="66"/>
      <c r="BJ578" s="66"/>
      <c r="BK578" s="66"/>
      <c r="BL578" s="66"/>
      <c r="BM578" s="66"/>
      <c r="BN578" s="66"/>
      <c r="BO578" s="66"/>
      <c r="BP578" s="66"/>
      <c r="BQ578" s="66"/>
      <c r="BR578" s="66"/>
      <c r="BS578" s="66"/>
      <c r="BT578" s="66"/>
      <c r="BU578" s="66"/>
      <c r="BV578" s="66"/>
      <c r="BW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/>
      <c r="BJ579" s="66"/>
      <c r="BK579" s="66"/>
      <c r="BL579" s="66"/>
      <c r="BM579" s="66"/>
      <c r="BN579" s="66"/>
      <c r="BO579" s="66"/>
      <c r="BP579" s="66"/>
      <c r="BQ579" s="66"/>
      <c r="BR579" s="66"/>
      <c r="BS579" s="66"/>
      <c r="BT579" s="66"/>
      <c r="BU579" s="66"/>
      <c r="BV579" s="66"/>
      <c r="BW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  <c r="BD580" s="66"/>
      <c r="BE580" s="66"/>
      <c r="BF580" s="66"/>
      <c r="BG580" s="66"/>
      <c r="BH580" s="66"/>
      <c r="BI580" s="66"/>
      <c r="BJ580" s="66"/>
      <c r="BK580" s="66"/>
      <c r="BL580" s="66"/>
      <c r="BM580" s="66"/>
      <c r="BN580" s="66"/>
      <c r="BO580" s="66"/>
      <c r="BP580" s="66"/>
      <c r="BQ580" s="66"/>
      <c r="BR580" s="66"/>
      <c r="BS580" s="66"/>
      <c r="BT580" s="66"/>
      <c r="BU580" s="66"/>
      <c r="BV580" s="66"/>
      <c r="BW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  <c r="BD581" s="66"/>
      <c r="BE581" s="66"/>
      <c r="BF581" s="66"/>
      <c r="BG581" s="66"/>
      <c r="BH581" s="66"/>
      <c r="BI581" s="66"/>
      <c r="BJ581" s="66"/>
      <c r="BK581" s="66"/>
      <c r="BL581" s="66"/>
      <c r="BM581" s="66"/>
      <c r="BN581" s="66"/>
      <c r="BO581" s="66"/>
      <c r="BP581" s="66"/>
      <c r="BQ581" s="66"/>
      <c r="BR581" s="66"/>
      <c r="BS581" s="66"/>
      <c r="BT581" s="66"/>
      <c r="BU581" s="66"/>
      <c r="BV581" s="66"/>
      <c r="BW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  <c r="BD582" s="66"/>
      <c r="BE582" s="66"/>
      <c r="BF582" s="66"/>
      <c r="BG582" s="66"/>
      <c r="BH582" s="66"/>
      <c r="BI582" s="66"/>
      <c r="BJ582" s="66"/>
      <c r="BK582" s="66"/>
      <c r="BL582" s="66"/>
      <c r="BM582" s="66"/>
      <c r="BN582" s="66"/>
      <c r="BO582" s="66"/>
      <c r="BP582" s="66"/>
      <c r="BQ582" s="66"/>
      <c r="BR582" s="66"/>
      <c r="BS582" s="66"/>
      <c r="BT582" s="66"/>
      <c r="BU582" s="66"/>
      <c r="BV582" s="66"/>
      <c r="BW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/>
      <c r="BJ583" s="66"/>
      <c r="BK583" s="66"/>
      <c r="BL583" s="66"/>
      <c r="BM583" s="66"/>
      <c r="BN583" s="66"/>
      <c r="BO583" s="66"/>
      <c r="BP583" s="66"/>
      <c r="BQ583" s="66"/>
      <c r="BR583" s="66"/>
      <c r="BS583" s="66"/>
      <c r="BT583" s="66"/>
      <c r="BU583" s="66"/>
      <c r="BV583" s="66"/>
      <c r="BW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  <c r="BF584" s="66"/>
      <c r="BG584" s="66"/>
      <c r="BH584" s="66"/>
      <c r="BI584" s="66"/>
      <c r="BJ584" s="66"/>
      <c r="BK584" s="66"/>
      <c r="BL584" s="66"/>
      <c r="BM584" s="66"/>
      <c r="BN584" s="66"/>
      <c r="BO584" s="66"/>
      <c r="BP584" s="66"/>
      <c r="BQ584" s="66"/>
      <c r="BR584" s="66"/>
      <c r="BS584" s="66"/>
      <c r="BT584" s="66"/>
      <c r="BU584" s="66"/>
      <c r="BV584" s="66"/>
      <c r="BW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  <c r="BD585" s="66"/>
      <c r="BE585" s="66"/>
      <c r="BF585" s="66"/>
      <c r="BG585" s="66"/>
      <c r="BH585" s="66"/>
      <c r="BI585" s="66"/>
      <c r="BJ585" s="66"/>
      <c r="BK585" s="66"/>
      <c r="BL585" s="66"/>
      <c r="BM585" s="66"/>
      <c r="BN585" s="66"/>
      <c r="BO585" s="66"/>
      <c r="BP585" s="66"/>
      <c r="BQ585" s="66"/>
      <c r="BR585" s="66"/>
      <c r="BS585" s="66"/>
      <c r="BT585" s="66"/>
      <c r="BU585" s="66"/>
      <c r="BV585" s="66"/>
      <c r="BW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  <c r="BF586" s="66"/>
      <c r="BG586" s="66"/>
      <c r="BH586" s="66"/>
      <c r="BI586" s="66"/>
      <c r="BJ586" s="66"/>
      <c r="BK586" s="66"/>
      <c r="BL586" s="66"/>
      <c r="BM586" s="66"/>
      <c r="BN586" s="66"/>
      <c r="BO586" s="66"/>
      <c r="BP586" s="66"/>
      <c r="BQ586" s="66"/>
      <c r="BR586" s="66"/>
      <c r="BS586" s="66"/>
      <c r="BT586" s="66"/>
      <c r="BU586" s="66"/>
      <c r="BV586" s="66"/>
      <c r="BW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  <c r="BF587" s="66"/>
      <c r="BG587" s="66"/>
      <c r="BH587" s="66"/>
      <c r="BI587" s="66"/>
      <c r="BJ587" s="66"/>
      <c r="BK587" s="66"/>
      <c r="BL587" s="66"/>
      <c r="BM587" s="66"/>
      <c r="BN587" s="66"/>
      <c r="BO587" s="66"/>
      <c r="BP587" s="66"/>
      <c r="BQ587" s="66"/>
      <c r="BR587" s="66"/>
      <c r="BS587" s="66"/>
      <c r="BT587" s="66"/>
      <c r="BU587" s="66"/>
      <c r="BV587" s="66"/>
      <c r="BW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  <c r="BD588" s="66"/>
      <c r="BE588" s="66"/>
      <c r="BF588" s="66"/>
      <c r="BG588" s="66"/>
      <c r="BH588" s="66"/>
      <c r="BI588" s="66"/>
      <c r="BJ588" s="66"/>
      <c r="BK588" s="66"/>
      <c r="BL588" s="66"/>
      <c r="BM588" s="66"/>
      <c r="BN588" s="66"/>
      <c r="BO588" s="66"/>
      <c r="BP588" s="66"/>
      <c r="BQ588" s="66"/>
      <c r="BR588" s="66"/>
      <c r="BS588" s="66"/>
      <c r="BT588" s="66"/>
      <c r="BU588" s="66"/>
      <c r="BV588" s="66"/>
      <c r="BW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  <c r="BD589" s="66"/>
      <c r="BE589" s="66"/>
      <c r="BF589" s="66"/>
      <c r="BG589" s="66"/>
      <c r="BH589" s="66"/>
      <c r="BI589" s="66"/>
      <c r="BJ589" s="66"/>
      <c r="BK589" s="66"/>
      <c r="BL589" s="66"/>
      <c r="BM589" s="66"/>
      <c r="BN589" s="66"/>
      <c r="BO589" s="66"/>
      <c r="BP589" s="66"/>
      <c r="BQ589" s="66"/>
      <c r="BR589" s="66"/>
      <c r="BS589" s="66"/>
      <c r="BT589" s="66"/>
      <c r="BU589" s="66"/>
      <c r="BV589" s="66"/>
      <c r="BW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  <c r="BF590" s="66"/>
      <c r="BG590" s="66"/>
      <c r="BH590" s="66"/>
      <c r="BI590" s="66"/>
      <c r="BJ590" s="66"/>
      <c r="BK590" s="66"/>
      <c r="BL590" s="66"/>
      <c r="BM590" s="66"/>
      <c r="BN590" s="66"/>
      <c r="BO590" s="66"/>
      <c r="BP590" s="66"/>
      <c r="BQ590" s="66"/>
      <c r="BR590" s="66"/>
      <c r="BS590" s="66"/>
      <c r="BT590" s="66"/>
      <c r="BU590" s="66"/>
      <c r="BV590" s="66"/>
      <c r="BW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  <c r="BD591" s="66"/>
      <c r="BE591" s="66"/>
      <c r="BF591" s="66"/>
      <c r="BG591" s="66"/>
      <c r="BH591" s="66"/>
      <c r="BI591" s="66"/>
      <c r="BJ591" s="66"/>
      <c r="BK591" s="66"/>
      <c r="BL591" s="66"/>
      <c r="BM591" s="66"/>
      <c r="BN591" s="66"/>
      <c r="BO591" s="66"/>
      <c r="BP591" s="66"/>
      <c r="BQ591" s="66"/>
      <c r="BR591" s="66"/>
      <c r="BS591" s="66"/>
      <c r="BT591" s="66"/>
      <c r="BU591" s="66"/>
      <c r="BV591" s="66"/>
      <c r="BW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  <c r="BD592" s="66"/>
      <c r="BE592" s="66"/>
      <c r="BF592" s="66"/>
      <c r="BG592" s="66"/>
      <c r="BH592" s="66"/>
      <c r="BI592" s="66"/>
      <c r="BJ592" s="66"/>
      <c r="BK592" s="66"/>
      <c r="BL592" s="66"/>
      <c r="BM592" s="66"/>
      <c r="BN592" s="66"/>
      <c r="BO592" s="66"/>
      <c r="BP592" s="66"/>
      <c r="BQ592" s="66"/>
      <c r="BR592" s="66"/>
      <c r="BS592" s="66"/>
      <c r="BT592" s="66"/>
      <c r="BU592" s="66"/>
      <c r="BV592" s="66"/>
      <c r="BW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  <c r="BD593" s="66"/>
      <c r="BE593" s="66"/>
      <c r="BF593" s="66"/>
      <c r="BG593" s="66"/>
      <c r="BH593" s="66"/>
      <c r="BI593" s="66"/>
      <c r="BJ593" s="66"/>
      <c r="BK593" s="66"/>
      <c r="BL593" s="66"/>
      <c r="BM593" s="66"/>
      <c r="BN593" s="66"/>
      <c r="BO593" s="66"/>
      <c r="BP593" s="66"/>
      <c r="BQ593" s="66"/>
      <c r="BR593" s="66"/>
      <c r="BS593" s="66"/>
      <c r="BT593" s="66"/>
      <c r="BU593" s="66"/>
      <c r="BV593" s="66"/>
      <c r="BW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  <c r="BF594" s="66"/>
      <c r="BG594" s="66"/>
      <c r="BH594" s="66"/>
      <c r="BI594" s="66"/>
      <c r="BJ594" s="66"/>
      <c r="BK594" s="66"/>
      <c r="BL594" s="66"/>
      <c r="BM594" s="66"/>
      <c r="BN594" s="66"/>
      <c r="BO594" s="66"/>
      <c r="BP594" s="66"/>
      <c r="BQ594" s="66"/>
      <c r="BR594" s="66"/>
      <c r="BS594" s="66"/>
      <c r="BT594" s="66"/>
      <c r="BU594" s="66"/>
      <c r="BV594" s="66"/>
      <c r="BW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  <c r="BD595" s="66"/>
      <c r="BE595" s="66"/>
      <c r="BF595" s="66"/>
      <c r="BG595" s="66"/>
      <c r="BH595" s="66"/>
      <c r="BI595" s="66"/>
      <c r="BJ595" s="66"/>
      <c r="BK595" s="66"/>
      <c r="BL595" s="66"/>
      <c r="BM595" s="66"/>
      <c r="BN595" s="66"/>
      <c r="BO595" s="66"/>
      <c r="BP595" s="66"/>
      <c r="BQ595" s="66"/>
      <c r="BR595" s="66"/>
      <c r="BS595" s="66"/>
      <c r="BT595" s="66"/>
      <c r="BU595" s="66"/>
      <c r="BV595" s="66"/>
      <c r="BW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  <c r="BF596" s="66"/>
      <c r="BG596" s="66"/>
      <c r="BH596" s="66"/>
      <c r="BI596" s="66"/>
      <c r="BJ596" s="66"/>
      <c r="BK596" s="66"/>
      <c r="BL596" s="66"/>
      <c r="BM596" s="66"/>
      <c r="BN596" s="66"/>
      <c r="BO596" s="66"/>
      <c r="BP596" s="66"/>
      <c r="BQ596" s="66"/>
      <c r="BR596" s="66"/>
      <c r="BS596" s="66"/>
      <c r="BT596" s="66"/>
      <c r="BU596" s="66"/>
      <c r="BV596" s="66"/>
      <c r="BW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  <c r="BD597" s="66"/>
      <c r="BE597" s="66"/>
      <c r="BF597" s="66"/>
      <c r="BG597" s="66"/>
      <c r="BH597" s="66"/>
      <c r="BI597" s="66"/>
      <c r="BJ597" s="66"/>
      <c r="BK597" s="66"/>
      <c r="BL597" s="66"/>
      <c r="BM597" s="66"/>
      <c r="BN597" s="66"/>
      <c r="BO597" s="66"/>
      <c r="BP597" s="66"/>
      <c r="BQ597" s="66"/>
      <c r="BR597" s="66"/>
      <c r="BS597" s="66"/>
      <c r="BT597" s="66"/>
      <c r="BU597" s="66"/>
      <c r="BV597" s="66"/>
      <c r="BW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  <c r="BD598" s="66"/>
      <c r="BE598" s="66"/>
      <c r="BF598" s="66"/>
      <c r="BG598" s="66"/>
      <c r="BH598" s="66"/>
      <c r="BI598" s="66"/>
      <c r="BJ598" s="66"/>
      <c r="BK598" s="66"/>
      <c r="BL598" s="66"/>
      <c r="BM598" s="66"/>
      <c r="BN598" s="66"/>
      <c r="BO598" s="66"/>
      <c r="BP598" s="66"/>
      <c r="BQ598" s="66"/>
      <c r="BR598" s="66"/>
      <c r="BS598" s="66"/>
      <c r="BT598" s="66"/>
      <c r="BU598" s="66"/>
      <c r="BV598" s="66"/>
      <c r="BW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  <c r="BF599" s="66"/>
      <c r="BG599" s="66"/>
      <c r="BH599" s="66"/>
      <c r="BI599" s="66"/>
      <c r="BJ599" s="66"/>
      <c r="BK599" s="66"/>
      <c r="BL599" s="66"/>
      <c r="BM599" s="66"/>
      <c r="BN599" s="66"/>
      <c r="BO599" s="66"/>
      <c r="BP599" s="66"/>
      <c r="BQ599" s="66"/>
      <c r="BR599" s="66"/>
      <c r="BS599" s="66"/>
      <c r="BT599" s="66"/>
      <c r="BU599" s="66"/>
      <c r="BV599" s="66"/>
      <c r="BW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  <c r="BD600" s="66"/>
      <c r="BE600" s="66"/>
      <c r="BF600" s="66"/>
      <c r="BG600" s="66"/>
      <c r="BH600" s="66"/>
      <c r="BI600" s="66"/>
      <c r="BJ600" s="66"/>
      <c r="BK600" s="66"/>
      <c r="BL600" s="66"/>
      <c r="BM600" s="66"/>
      <c r="BN600" s="66"/>
      <c r="BO600" s="66"/>
      <c r="BP600" s="66"/>
      <c r="BQ600" s="66"/>
      <c r="BR600" s="66"/>
      <c r="BS600" s="66"/>
      <c r="BT600" s="66"/>
      <c r="BU600" s="66"/>
      <c r="BV600" s="66"/>
      <c r="BW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  <c r="BD601" s="66"/>
      <c r="BE601" s="66"/>
      <c r="BF601" s="66"/>
      <c r="BG601" s="66"/>
      <c r="BH601" s="66"/>
      <c r="BI601" s="66"/>
      <c r="BJ601" s="66"/>
      <c r="BK601" s="66"/>
      <c r="BL601" s="66"/>
      <c r="BM601" s="66"/>
      <c r="BN601" s="66"/>
      <c r="BO601" s="66"/>
      <c r="BP601" s="66"/>
      <c r="BQ601" s="66"/>
      <c r="BR601" s="66"/>
      <c r="BS601" s="66"/>
      <c r="BT601" s="66"/>
      <c r="BU601" s="66"/>
      <c r="BV601" s="66"/>
      <c r="BW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/>
      <c r="BJ602" s="66"/>
      <c r="BK602" s="66"/>
      <c r="BL602" s="66"/>
      <c r="BM602" s="66"/>
      <c r="BN602" s="66"/>
      <c r="BO602" s="66"/>
      <c r="BP602" s="66"/>
      <c r="BQ602" s="66"/>
      <c r="BR602" s="66"/>
      <c r="BS602" s="66"/>
      <c r="BT602" s="66"/>
      <c r="BU602" s="66"/>
      <c r="BV602" s="66"/>
      <c r="BW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  <c r="BF603" s="66"/>
      <c r="BG603" s="66"/>
      <c r="BH603" s="66"/>
      <c r="BI603" s="66"/>
      <c r="BJ603" s="66"/>
      <c r="BK603" s="66"/>
      <c r="BL603" s="66"/>
      <c r="BM603" s="66"/>
      <c r="BN603" s="66"/>
      <c r="BO603" s="66"/>
      <c r="BP603" s="66"/>
      <c r="BQ603" s="66"/>
      <c r="BR603" s="66"/>
      <c r="BS603" s="66"/>
      <c r="BT603" s="66"/>
      <c r="BU603" s="66"/>
      <c r="BV603" s="66"/>
      <c r="BW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  <c r="BF604" s="66"/>
      <c r="BG604" s="66"/>
      <c r="BH604" s="66"/>
      <c r="BI604" s="66"/>
      <c r="BJ604" s="66"/>
      <c r="BK604" s="66"/>
      <c r="BL604" s="66"/>
      <c r="BM604" s="66"/>
      <c r="BN604" s="66"/>
      <c r="BO604" s="66"/>
      <c r="BP604" s="66"/>
      <c r="BQ604" s="66"/>
      <c r="BR604" s="66"/>
      <c r="BS604" s="66"/>
      <c r="BT604" s="66"/>
      <c r="BU604" s="66"/>
      <c r="BV604" s="66"/>
      <c r="BW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  <c r="BF605" s="66"/>
      <c r="BG605" s="66"/>
      <c r="BH605" s="66"/>
      <c r="BI605" s="66"/>
      <c r="BJ605" s="66"/>
      <c r="BK605" s="66"/>
      <c r="BL605" s="66"/>
      <c r="BM605" s="66"/>
      <c r="BN605" s="66"/>
      <c r="BO605" s="66"/>
      <c r="BP605" s="66"/>
      <c r="BQ605" s="66"/>
      <c r="BR605" s="66"/>
      <c r="BS605" s="66"/>
      <c r="BT605" s="66"/>
      <c r="BU605" s="66"/>
      <c r="BV605" s="66"/>
      <c r="BW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  <c r="BF606" s="66"/>
      <c r="BG606" s="66"/>
      <c r="BH606" s="66"/>
      <c r="BI606" s="66"/>
      <c r="BJ606" s="66"/>
      <c r="BK606" s="66"/>
      <c r="BL606" s="66"/>
      <c r="BM606" s="66"/>
      <c r="BN606" s="66"/>
      <c r="BO606" s="66"/>
      <c r="BP606" s="66"/>
      <c r="BQ606" s="66"/>
      <c r="BR606" s="66"/>
      <c r="BS606" s="66"/>
      <c r="BT606" s="66"/>
      <c r="BU606" s="66"/>
      <c r="BV606" s="66"/>
      <c r="BW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  <c r="BF607" s="66"/>
      <c r="BG607" s="66"/>
      <c r="BH607" s="66"/>
      <c r="BI607" s="66"/>
      <c r="BJ607" s="66"/>
      <c r="BK607" s="66"/>
      <c r="BL607" s="66"/>
      <c r="BM607" s="66"/>
      <c r="BN607" s="66"/>
      <c r="BO607" s="66"/>
      <c r="BP607" s="66"/>
      <c r="BQ607" s="66"/>
      <c r="BR607" s="66"/>
      <c r="BS607" s="66"/>
      <c r="BT607" s="66"/>
      <c r="BU607" s="66"/>
      <c r="BV607" s="66"/>
      <c r="BW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  <c r="BF608" s="66"/>
      <c r="BG608" s="66"/>
      <c r="BH608" s="66"/>
      <c r="BI608" s="66"/>
      <c r="BJ608" s="66"/>
      <c r="BK608" s="66"/>
      <c r="BL608" s="66"/>
      <c r="BM608" s="66"/>
      <c r="BN608" s="66"/>
      <c r="BO608" s="66"/>
      <c r="BP608" s="66"/>
      <c r="BQ608" s="66"/>
      <c r="BR608" s="66"/>
      <c r="BS608" s="66"/>
      <c r="BT608" s="66"/>
      <c r="BU608" s="66"/>
      <c r="BV608" s="66"/>
      <c r="BW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  <c r="BD609" s="66"/>
      <c r="BE609" s="66"/>
      <c r="BF609" s="66"/>
      <c r="BG609" s="66"/>
      <c r="BH609" s="66"/>
      <c r="BI609" s="66"/>
      <c r="BJ609" s="66"/>
      <c r="BK609" s="66"/>
      <c r="BL609" s="66"/>
      <c r="BM609" s="66"/>
      <c r="BN609" s="66"/>
      <c r="BO609" s="66"/>
      <c r="BP609" s="66"/>
      <c r="BQ609" s="66"/>
      <c r="BR609" s="66"/>
      <c r="BS609" s="66"/>
      <c r="BT609" s="66"/>
      <c r="BU609" s="66"/>
      <c r="BV609" s="66"/>
      <c r="BW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  <c r="BF610" s="66"/>
      <c r="BG610" s="66"/>
      <c r="BH610" s="66"/>
      <c r="BI610" s="66"/>
      <c r="BJ610" s="66"/>
      <c r="BK610" s="66"/>
      <c r="BL610" s="66"/>
      <c r="BM610" s="66"/>
      <c r="BN610" s="66"/>
      <c r="BO610" s="66"/>
      <c r="BP610" s="66"/>
      <c r="BQ610" s="66"/>
      <c r="BR610" s="66"/>
      <c r="BS610" s="66"/>
      <c r="BT610" s="66"/>
      <c r="BU610" s="66"/>
      <c r="BV610" s="66"/>
      <c r="BW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  <c r="BF611" s="66"/>
      <c r="BG611" s="66"/>
      <c r="BH611" s="66"/>
      <c r="BI611" s="66"/>
      <c r="BJ611" s="66"/>
      <c r="BK611" s="66"/>
      <c r="BL611" s="66"/>
      <c r="BM611" s="66"/>
      <c r="BN611" s="66"/>
      <c r="BO611" s="66"/>
      <c r="BP611" s="66"/>
      <c r="BQ611" s="66"/>
      <c r="BR611" s="66"/>
      <c r="BS611" s="66"/>
      <c r="BT611" s="66"/>
      <c r="BU611" s="66"/>
      <c r="BV611" s="66"/>
      <c r="BW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/>
      <c r="BJ612" s="66"/>
      <c r="BK612" s="66"/>
      <c r="BL612" s="66"/>
      <c r="BM612" s="66"/>
      <c r="BN612" s="66"/>
      <c r="BO612" s="66"/>
      <c r="BP612" s="66"/>
      <c r="BQ612" s="66"/>
      <c r="BR612" s="66"/>
      <c r="BS612" s="66"/>
      <c r="BT612" s="66"/>
      <c r="BU612" s="66"/>
      <c r="BV612" s="66"/>
      <c r="BW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  <c r="BD613" s="66"/>
      <c r="BE613" s="66"/>
      <c r="BF613" s="66"/>
      <c r="BG613" s="66"/>
      <c r="BH613" s="66"/>
      <c r="BI613" s="66"/>
      <c r="BJ613" s="66"/>
      <c r="BK613" s="66"/>
      <c r="BL613" s="66"/>
      <c r="BM613" s="66"/>
      <c r="BN613" s="66"/>
      <c r="BO613" s="66"/>
      <c r="BP613" s="66"/>
      <c r="BQ613" s="66"/>
      <c r="BR613" s="66"/>
      <c r="BS613" s="66"/>
      <c r="BT613" s="66"/>
      <c r="BU613" s="66"/>
      <c r="BV613" s="66"/>
      <c r="BW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  <c r="BF614" s="66"/>
      <c r="BG614" s="66"/>
      <c r="BH614" s="66"/>
      <c r="BI614" s="66"/>
      <c r="BJ614" s="66"/>
      <c r="BK614" s="66"/>
      <c r="BL614" s="66"/>
      <c r="BM614" s="66"/>
      <c r="BN614" s="66"/>
      <c r="BO614" s="66"/>
      <c r="BP614" s="66"/>
      <c r="BQ614" s="66"/>
      <c r="BR614" s="66"/>
      <c r="BS614" s="66"/>
      <c r="BT614" s="66"/>
      <c r="BU614" s="66"/>
      <c r="BV614" s="66"/>
      <c r="BW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  <c r="BF615" s="66"/>
      <c r="BG615" s="66"/>
      <c r="BH615" s="66"/>
      <c r="BI615" s="66"/>
      <c r="BJ615" s="66"/>
      <c r="BK615" s="66"/>
      <c r="BL615" s="66"/>
      <c r="BM615" s="66"/>
      <c r="BN615" s="66"/>
      <c r="BO615" s="66"/>
      <c r="BP615" s="66"/>
      <c r="BQ615" s="66"/>
      <c r="BR615" s="66"/>
      <c r="BS615" s="66"/>
      <c r="BT615" s="66"/>
      <c r="BU615" s="66"/>
      <c r="BV615" s="66"/>
      <c r="BW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  <c r="BF616" s="66"/>
      <c r="BG616" s="66"/>
      <c r="BH616" s="66"/>
      <c r="BI616" s="66"/>
      <c r="BJ616" s="66"/>
      <c r="BK616" s="66"/>
      <c r="BL616" s="66"/>
      <c r="BM616" s="66"/>
      <c r="BN616" s="66"/>
      <c r="BO616" s="66"/>
      <c r="BP616" s="66"/>
      <c r="BQ616" s="66"/>
      <c r="BR616" s="66"/>
      <c r="BS616" s="66"/>
      <c r="BT616" s="66"/>
      <c r="BU616" s="66"/>
      <c r="BV616" s="66"/>
      <c r="BW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  <c r="BD617" s="66"/>
      <c r="BE617" s="66"/>
      <c r="BF617" s="66"/>
      <c r="BG617" s="66"/>
      <c r="BH617" s="66"/>
      <c r="BI617" s="66"/>
      <c r="BJ617" s="66"/>
      <c r="BK617" s="66"/>
      <c r="BL617" s="66"/>
      <c r="BM617" s="66"/>
      <c r="BN617" s="66"/>
      <c r="BO617" s="66"/>
      <c r="BP617" s="66"/>
      <c r="BQ617" s="66"/>
      <c r="BR617" s="66"/>
      <c r="BS617" s="66"/>
      <c r="BT617" s="66"/>
      <c r="BU617" s="66"/>
      <c r="BV617" s="66"/>
      <c r="BW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  <c r="BF618" s="66"/>
      <c r="BG618" s="66"/>
      <c r="BH618" s="66"/>
      <c r="BI618" s="66"/>
      <c r="BJ618" s="66"/>
      <c r="BK618" s="66"/>
      <c r="BL618" s="66"/>
      <c r="BM618" s="66"/>
      <c r="BN618" s="66"/>
      <c r="BO618" s="66"/>
      <c r="BP618" s="66"/>
      <c r="BQ618" s="66"/>
      <c r="BR618" s="66"/>
      <c r="BS618" s="66"/>
      <c r="BT618" s="66"/>
      <c r="BU618" s="66"/>
      <c r="BV618" s="66"/>
      <c r="BW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  <c r="BF619" s="66"/>
      <c r="BG619" s="66"/>
      <c r="BH619" s="66"/>
      <c r="BI619" s="66"/>
      <c r="BJ619" s="66"/>
      <c r="BK619" s="66"/>
      <c r="BL619" s="66"/>
      <c r="BM619" s="66"/>
      <c r="BN619" s="66"/>
      <c r="BO619" s="66"/>
      <c r="BP619" s="66"/>
      <c r="BQ619" s="66"/>
      <c r="BR619" s="66"/>
      <c r="BS619" s="66"/>
      <c r="BT619" s="66"/>
      <c r="BU619" s="66"/>
      <c r="BV619" s="66"/>
      <c r="BW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  <c r="BF620" s="66"/>
      <c r="BG620" s="66"/>
      <c r="BH620" s="66"/>
      <c r="BI620" s="66"/>
      <c r="BJ620" s="66"/>
      <c r="BK620" s="66"/>
      <c r="BL620" s="66"/>
      <c r="BM620" s="66"/>
      <c r="BN620" s="66"/>
      <c r="BO620" s="66"/>
      <c r="BP620" s="66"/>
      <c r="BQ620" s="66"/>
      <c r="BR620" s="66"/>
      <c r="BS620" s="66"/>
      <c r="BT620" s="66"/>
      <c r="BU620" s="66"/>
      <c r="BV620" s="66"/>
      <c r="BW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  <c r="BD621" s="66"/>
      <c r="BE621" s="66"/>
      <c r="BF621" s="66"/>
      <c r="BG621" s="66"/>
      <c r="BH621" s="66"/>
      <c r="BI621" s="66"/>
      <c r="BJ621" s="66"/>
      <c r="BK621" s="66"/>
      <c r="BL621" s="66"/>
      <c r="BM621" s="66"/>
      <c r="BN621" s="66"/>
      <c r="BO621" s="66"/>
      <c r="BP621" s="66"/>
      <c r="BQ621" s="66"/>
      <c r="BR621" s="66"/>
      <c r="BS621" s="66"/>
      <c r="BT621" s="66"/>
      <c r="BU621" s="66"/>
      <c r="BV621" s="66"/>
      <c r="BW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  <c r="BF622" s="66"/>
      <c r="BG622" s="66"/>
      <c r="BH622" s="66"/>
      <c r="BI622" s="66"/>
      <c r="BJ622" s="66"/>
      <c r="BK622" s="66"/>
      <c r="BL622" s="66"/>
      <c r="BM622" s="66"/>
      <c r="BN622" s="66"/>
      <c r="BO622" s="66"/>
      <c r="BP622" s="66"/>
      <c r="BQ622" s="66"/>
      <c r="BR622" s="66"/>
      <c r="BS622" s="66"/>
      <c r="BT622" s="66"/>
      <c r="BU622" s="66"/>
      <c r="BV622" s="66"/>
      <c r="BW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/>
      <c r="BJ623" s="66"/>
      <c r="BK623" s="66"/>
      <c r="BL623" s="66"/>
      <c r="BM623" s="66"/>
      <c r="BN623" s="66"/>
      <c r="BO623" s="66"/>
      <c r="BP623" s="66"/>
      <c r="BQ623" s="66"/>
      <c r="BR623" s="66"/>
      <c r="BS623" s="66"/>
      <c r="BT623" s="66"/>
      <c r="BU623" s="66"/>
      <c r="BV623" s="66"/>
      <c r="BW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  <c r="BF624" s="66"/>
      <c r="BG624" s="66"/>
      <c r="BH624" s="66"/>
      <c r="BI624" s="66"/>
      <c r="BJ624" s="66"/>
      <c r="BK624" s="66"/>
      <c r="BL624" s="66"/>
      <c r="BM624" s="66"/>
      <c r="BN624" s="66"/>
      <c r="BO624" s="66"/>
      <c r="BP624" s="66"/>
      <c r="BQ624" s="66"/>
      <c r="BR624" s="66"/>
      <c r="BS624" s="66"/>
      <c r="BT624" s="66"/>
      <c r="BU624" s="66"/>
      <c r="BV624" s="66"/>
      <c r="BW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  <c r="BD625" s="66"/>
      <c r="BE625" s="66"/>
      <c r="BF625" s="66"/>
      <c r="BG625" s="66"/>
      <c r="BH625" s="66"/>
      <c r="BI625" s="66"/>
      <c r="BJ625" s="66"/>
      <c r="BK625" s="66"/>
      <c r="BL625" s="66"/>
      <c r="BM625" s="66"/>
      <c r="BN625" s="66"/>
      <c r="BO625" s="66"/>
      <c r="BP625" s="66"/>
      <c r="BQ625" s="66"/>
      <c r="BR625" s="66"/>
      <c r="BS625" s="66"/>
      <c r="BT625" s="66"/>
      <c r="BU625" s="66"/>
      <c r="BV625" s="66"/>
      <c r="BW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  <c r="BD626" s="66"/>
      <c r="BE626" s="66"/>
      <c r="BF626" s="66"/>
      <c r="BG626" s="66"/>
      <c r="BH626" s="66"/>
      <c r="BI626" s="66"/>
      <c r="BJ626" s="66"/>
      <c r="BK626" s="66"/>
      <c r="BL626" s="66"/>
      <c r="BM626" s="66"/>
      <c r="BN626" s="66"/>
      <c r="BO626" s="66"/>
      <c r="BP626" s="66"/>
      <c r="BQ626" s="66"/>
      <c r="BR626" s="66"/>
      <c r="BS626" s="66"/>
      <c r="BT626" s="66"/>
      <c r="BU626" s="66"/>
      <c r="BV626" s="66"/>
      <c r="BW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  <c r="BF627" s="66"/>
      <c r="BG627" s="66"/>
      <c r="BH627" s="66"/>
      <c r="BI627" s="66"/>
      <c r="BJ627" s="66"/>
      <c r="BK627" s="66"/>
      <c r="BL627" s="66"/>
      <c r="BM627" s="66"/>
      <c r="BN627" s="66"/>
      <c r="BO627" s="66"/>
      <c r="BP627" s="66"/>
      <c r="BQ627" s="66"/>
      <c r="BR627" s="66"/>
      <c r="BS627" s="66"/>
      <c r="BT627" s="66"/>
      <c r="BU627" s="66"/>
      <c r="BV627" s="66"/>
      <c r="BW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  <c r="BF628" s="66"/>
      <c r="BG628" s="66"/>
      <c r="BH628" s="66"/>
      <c r="BI628" s="66"/>
      <c r="BJ628" s="66"/>
      <c r="BK628" s="66"/>
      <c r="BL628" s="66"/>
      <c r="BM628" s="66"/>
      <c r="BN628" s="66"/>
      <c r="BO628" s="66"/>
      <c r="BP628" s="66"/>
      <c r="BQ628" s="66"/>
      <c r="BR628" s="66"/>
      <c r="BS628" s="66"/>
      <c r="BT628" s="66"/>
      <c r="BU628" s="66"/>
      <c r="BV628" s="66"/>
      <c r="BW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  <c r="BD629" s="66"/>
      <c r="BE629" s="66"/>
      <c r="BF629" s="66"/>
      <c r="BG629" s="66"/>
      <c r="BH629" s="66"/>
      <c r="BI629" s="66"/>
      <c r="BJ629" s="66"/>
      <c r="BK629" s="66"/>
      <c r="BL629" s="66"/>
      <c r="BM629" s="66"/>
      <c r="BN629" s="66"/>
      <c r="BO629" s="66"/>
      <c r="BP629" s="66"/>
      <c r="BQ629" s="66"/>
      <c r="BR629" s="66"/>
      <c r="BS629" s="66"/>
      <c r="BT629" s="66"/>
      <c r="BU629" s="66"/>
      <c r="BV629" s="66"/>
      <c r="BW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  <c r="BD630" s="66"/>
      <c r="BE630" s="66"/>
      <c r="BF630" s="66"/>
      <c r="BG630" s="66"/>
      <c r="BH630" s="66"/>
      <c r="BI630" s="66"/>
      <c r="BJ630" s="66"/>
      <c r="BK630" s="66"/>
      <c r="BL630" s="66"/>
      <c r="BM630" s="66"/>
      <c r="BN630" s="66"/>
      <c r="BO630" s="66"/>
      <c r="BP630" s="66"/>
      <c r="BQ630" s="66"/>
      <c r="BR630" s="66"/>
      <c r="BS630" s="66"/>
      <c r="BT630" s="66"/>
      <c r="BU630" s="66"/>
      <c r="BV630" s="66"/>
      <c r="BW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  <c r="BF631" s="66"/>
      <c r="BG631" s="66"/>
      <c r="BH631" s="66"/>
      <c r="BI631" s="66"/>
      <c r="BJ631" s="66"/>
      <c r="BK631" s="66"/>
      <c r="BL631" s="66"/>
      <c r="BM631" s="66"/>
      <c r="BN631" s="66"/>
      <c r="BO631" s="66"/>
      <c r="BP631" s="66"/>
      <c r="BQ631" s="66"/>
      <c r="BR631" s="66"/>
      <c r="BS631" s="66"/>
      <c r="BT631" s="66"/>
      <c r="BU631" s="66"/>
      <c r="BV631" s="66"/>
      <c r="BW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  <c r="BD632" s="66"/>
      <c r="BE632" s="66"/>
      <c r="BF632" s="66"/>
      <c r="BG632" s="66"/>
      <c r="BH632" s="66"/>
      <c r="BI632" s="66"/>
      <c r="BJ632" s="66"/>
      <c r="BK632" s="66"/>
      <c r="BL632" s="66"/>
      <c r="BM632" s="66"/>
      <c r="BN632" s="66"/>
      <c r="BO632" s="66"/>
      <c r="BP632" s="66"/>
      <c r="BQ632" s="66"/>
      <c r="BR632" s="66"/>
      <c r="BS632" s="66"/>
      <c r="BT632" s="66"/>
      <c r="BU632" s="66"/>
      <c r="BV632" s="66"/>
      <c r="BW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  <c r="BD633" s="66"/>
      <c r="BE633" s="66"/>
      <c r="BF633" s="66"/>
      <c r="BG633" s="66"/>
      <c r="BH633" s="66"/>
      <c r="BI633" s="66"/>
      <c r="BJ633" s="66"/>
      <c r="BK633" s="66"/>
      <c r="BL633" s="66"/>
      <c r="BM633" s="66"/>
      <c r="BN633" s="66"/>
      <c r="BO633" s="66"/>
      <c r="BP633" s="66"/>
      <c r="BQ633" s="66"/>
      <c r="BR633" s="66"/>
      <c r="BS633" s="66"/>
      <c r="BT633" s="66"/>
      <c r="BU633" s="66"/>
      <c r="BV633" s="66"/>
      <c r="BW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  <c r="BF634" s="66"/>
      <c r="BG634" s="66"/>
      <c r="BH634" s="66"/>
      <c r="BI634" s="66"/>
      <c r="BJ634" s="66"/>
      <c r="BK634" s="66"/>
      <c r="BL634" s="66"/>
      <c r="BM634" s="66"/>
      <c r="BN634" s="66"/>
      <c r="BO634" s="66"/>
      <c r="BP634" s="66"/>
      <c r="BQ634" s="66"/>
      <c r="BR634" s="66"/>
      <c r="BS634" s="66"/>
      <c r="BT634" s="66"/>
      <c r="BU634" s="66"/>
      <c r="BV634" s="66"/>
      <c r="BW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  <c r="BD635" s="66"/>
      <c r="BE635" s="66"/>
      <c r="BF635" s="66"/>
      <c r="BG635" s="66"/>
      <c r="BH635" s="66"/>
      <c r="BI635" s="66"/>
      <c r="BJ635" s="66"/>
      <c r="BK635" s="66"/>
      <c r="BL635" s="66"/>
      <c r="BM635" s="66"/>
      <c r="BN635" s="66"/>
      <c r="BO635" s="66"/>
      <c r="BP635" s="66"/>
      <c r="BQ635" s="66"/>
      <c r="BR635" s="66"/>
      <c r="BS635" s="66"/>
      <c r="BT635" s="66"/>
      <c r="BU635" s="66"/>
      <c r="BV635" s="66"/>
      <c r="BW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  <c r="BD636" s="66"/>
      <c r="BE636" s="66"/>
      <c r="BF636" s="66"/>
      <c r="BG636" s="66"/>
      <c r="BH636" s="66"/>
      <c r="BI636" s="66"/>
      <c r="BJ636" s="66"/>
      <c r="BK636" s="66"/>
      <c r="BL636" s="66"/>
      <c r="BM636" s="66"/>
      <c r="BN636" s="66"/>
      <c r="BO636" s="66"/>
      <c r="BP636" s="66"/>
      <c r="BQ636" s="66"/>
      <c r="BR636" s="66"/>
      <c r="BS636" s="66"/>
      <c r="BT636" s="66"/>
      <c r="BU636" s="66"/>
      <c r="BV636" s="66"/>
      <c r="BW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  <c r="BF637" s="66"/>
      <c r="BG637" s="66"/>
      <c r="BH637" s="66"/>
      <c r="BI637" s="66"/>
      <c r="BJ637" s="66"/>
      <c r="BK637" s="66"/>
      <c r="BL637" s="66"/>
      <c r="BM637" s="66"/>
      <c r="BN637" s="66"/>
      <c r="BO637" s="66"/>
      <c r="BP637" s="66"/>
      <c r="BQ637" s="66"/>
      <c r="BR637" s="66"/>
      <c r="BS637" s="66"/>
      <c r="BT637" s="66"/>
      <c r="BU637" s="66"/>
      <c r="BV637" s="66"/>
      <c r="BW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  <c r="BD638" s="66"/>
      <c r="BE638" s="66"/>
      <c r="BF638" s="66"/>
      <c r="BG638" s="66"/>
      <c r="BH638" s="66"/>
      <c r="BI638" s="66"/>
      <c r="BJ638" s="66"/>
      <c r="BK638" s="66"/>
      <c r="BL638" s="66"/>
      <c r="BM638" s="66"/>
      <c r="BN638" s="66"/>
      <c r="BO638" s="66"/>
      <c r="BP638" s="66"/>
      <c r="BQ638" s="66"/>
      <c r="BR638" s="66"/>
      <c r="BS638" s="66"/>
      <c r="BT638" s="66"/>
      <c r="BU638" s="66"/>
      <c r="BV638" s="66"/>
      <c r="BW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  <c r="BF639" s="66"/>
      <c r="BG639" s="66"/>
      <c r="BH639" s="66"/>
      <c r="BI639" s="66"/>
      <c r="BJ639" s="66"/>
      <c r="BK639" s="66"/>
      <c r="BL639" s="66"/>
      <c r="BM639" s="66"/>
      <c r="BN639" s="66"/>
      <c r="BO639" s="66"/>
      <c r="BP639" s="66"/>
      <c r="BQ639" s="66"/>
      <c r="BR639" s="66"/>
      <c r="BS639" s="66"/>
      <c r="BT639" s="66"/>
      <c r="BU639" s="66"/>
      <c r="BV639" s="66"/>
      <c r="BW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  <c r="BD640" s="66"/>
      <c r="BE640" s="66"/>
      <c r="BF640" s="66"/>
      <c r="BG640" s="66"/>
      <c r="BH640" s="66"/>
      <c r="BI640" s="66"/>
      <c r="BJ640" s="66"/>
      <c r="BK640" s="66"/>
      <c r="BL640" s="66"/>
      <c r="BM640" s="66"/>
      <c r="BN640" s="66"/>
      <c r="BO640" s="66"/>
      <c r="BP640" s="66"/>
      <c r="BQ640" s="66"/>
      <c r="BR640" s="66"/>
      <c r="BS640" s="66"/>
      <c r="BT640" s="66"/>
      <c r="BU640" s="66"/>
      <c r="BV640" s="66"/>
      <c r="BW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  <c r="BD641" s="66"/>
      <c r="BE641" s="66"/>
      <c r="BF641" s="66"/>
      <c r="BG641" s="66"/>
      <c r="BH641" s="66"/>
      <c r="BI641" s="66"/>
      <c r="BJ641" s="66"/>
      <c r="BK641" s="66"/>
      <c r="BL641" s="66"/>
      <c r="BM641" s="66"/>
      <c r="BN641" s="66"/>
      <c r="BO641" s="66"/>
      <c r="BP641" s="66"/>
      <c r="BQ641" s="66"/>
      <c r="BR641" s="66"/>
      <c r="BS641" s="66"/>
      <c r="BT641" s="66"/>
      <c r="BU641" s="66"/>
      <c r="BV641" s="66"/>
      <c r="BW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  <c r="BD642" s="66"/>
      <c r="BE642" s="66"/>
      <c r="BF642" s="66"/>
      <c r="BG642" s="66"/>
      <c r="BH642" s="66"/>
      <c r="BI642" s="66"/>
      <c r="BJ642" s="66"/>
      <c r="BK642" s="66"/>
      <c r="BL642" s="66"/>
      <c r="BM642" s="66"/>
      <c r="BN642" s="66"/>
      <c r="BO642" s="66"/>
      <c r="BP642" s="66"/>
      <c r="BQ642" s="66"/>
      <c r="BR642" s="66"/>
      <c r="BS642" s="66"/>
      <c r="BT642" s="66"/>
      <c r="BU642" s="66"/>
      <c r="BV642" s="66"/>
      <c r="BW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  <c r="BD643" s="66"/>
      <c r="BE643" s="66"/>
      <c r="BF643" s="66"/>
      <c r="BG643" s="66"/>
      <c r="BH643" s="66"/>
      <c r="BI643" s="66"/>
      <c r="BJ643" s="66"/>
      <c r="BK643" s="66"/>
      <c r="BL643" s="66"/>
      <c r="BM643" s="66"/>
      <c r="BN643" s="66"/>
      <c r="BO643" s="66"/>
      <c r="BP643" s="66"/>
      <c r="BQ643" s="66"/>
      <c r="BR643" s="66"/>
      <c r="BS643" s="66"/>
      <c r="BT643" s="66"/>
      <c r="BU643" s="66"/>
      <c r="BV643" s="66"/>
      <c r="BW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  <c r="BF644" s="66"/>
      <c r="BG644" s="66"/>
      <c r="BH644" s="66"/>
      <c r="BI644" s="66"/>
      <c r="BJ644" s="66"/>
      <c r="BK644" s="66"/>
      <c r="BL644" s="66"/>
      <c r="BM644" s="66"/>
      <c r="BN644" s="66"/>
      <c r="BO644" s="66"/>
      <c r="BP644" s="66"/>
      <c r="BQ644" s="66"/>
      <c r="BR644" s="66"/>
      <c r="BS644" s="66"/>
      <c r="BT644" s="66"/>
      <c r="BU644" s="66"/>
      <c r="BV644" s="66"/>
      <c r="BW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  <c r="BD645" s="66"/>
      <c r="BE645" s="66"/>
      <c r="BF645" s="66"/>
      <c r="BG645" s="66"/>
      <c r="BH645" s="66"/>
      <c r="BI645" s="66"/>
      <c r="BJ645" s="66"/>
      <c r="BK645" s="66"/>
      <c r="BL645" s="66"/>
      <c r="BM645" s="66"/>
      <c r="BN645" s="66"/>
      <c r="BO645" s="66"/>
      <c r="BP645" s="66"/>
      <c r="BQ645" s="66"/>
      <c r="BR645" s="66"/>
      <c r="BS645" s="66"/>
      <c r="BT645" s="66"/>
      <c r="BU645" s="66"/>
      <c r="BV645" s="66"/>
      <c r="BW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  <c r="BF646" s="66"/>
      <c r="BG646" s="66"/>
      <c r="BH646" s="66"/>
      <c r="BI646" s="66"/>
      <c r="BJ646" s="66"/>
      <c r="BK646" s="66"/>
      <c r="BL646" s="66"/>
      <c r="BM646" s="66"/>
      <c r="BN646" s="66"/>
      <c r="BO646" s="66"/>
      <c r="BP646" s="66"/>
      <c r="BQ646" s="66"/>
      <c r="BR646" s="66"/>
      <c r="BS646" s="66"/>
      <c r="BT646" s="66"/>
      <c r="BU646" s="66"/>
      <c r="BV646" s="66"/>
      <c r="BW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  <c r="BF647" s="66"/>
      <c r="BG647" s="66"/>
      <c r="BH647" s="66"/>
      <c r="BI647" s="66"/>
      <c r="BJ647" s="66"/>
      <c r="BK647" s="66"/>
      <c r="BL647" s="66"/>
      <c r="BM647" s="66"/>
      <c r="BN647" s="66"/>
      <c r="BO647" s="66"/>
      <c r="BP647" s="66"/>
      <c r="BQ647" s="66"/>
      <c r="BR647" s="66"/>
      <c r="BS647" s="66"/>
      <c r="BT647" s="66"/>
      <c r="BU647" s="66"/>
      <c r="BV647" s="66"/>
      <c r="BW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  <c r="BD648" s="66"/>
      <c r="BE648" s="66"/>
      <c r="BF648" s="66"/>
      <c r="BG648" s="66"/>
      <c r="BH648" s="66"/>
      <c r="BI648" s="66"/>
      <c r="BJ648" s="66"/>
      <c r="BK648" s="66"/>
      <c r="BL648" s="66"/>
      <c r="BM648" s="66"/>
      <c r="BN648" s="66"/>
      <c r="BO648" s="66"/>
      <c r="BP648" s="66"/>
      <c r="BQ648" s="66"/>
      <c r="BR648" s="66"/>
      <c r="BS648" s="66"/>
      <c r="BT648" s="66"/>
      <c r="BU648" s="66"/>
      <c r="BV648" s="66"/>
      <c r="BW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  <c r="BF649" s="66"/>
      <c r="BG649" s="66"/>
      <c r="BH649" s="66"/>
      <c r="BI649" s="66"/>
      <c r="BJ649" s="66"/>
      <c r="BK649" s="66"/>
      <c r="BL649" s="66"/>
      <c r="BM649" s="66"/>
      <c r="BN649" s="66"/>
      <c r="BO649" s="66"/>
      <c r="BP649" s="66"/>
      <c r="BQ649" s="66"/>
      <c r="BR649" s="66"/>
      <c r="BS649" s="66"/>
      <c r="BT649" s="66"/>
      <c r="BU649" s="66"/>
      <c r="BV649" s="66"/>
      <c r="BW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  <c r="BF650" s="66"/>
      <c r="BG650" s="66"/>
      <c r="BH650" s="66"/>
      <c r="BI650" s="66"/>
      <c r="BJ650" s="66"/>
      <c r="BK650" s="66"/>
      <c r="BL650" s="66"/>
      <c r="BM650" s="66"/>
      <c r="BN650" s="66"/>
      <c r="BO650" s="66"/>
      <c r="BP650" s="66"/>
      <c r="BQ650" s="66"/>
      <c r="BR650" s="66"/>
      <c r="BS650" s="66"/>
      <c r="BT650" s="66"/>
      <c r="BU650" s="66"/>
      <c r="BV650" s="66"/>
      <c r="BW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  <c r="BF651" s="66"/>
      <c r="BG651" s="66"/>
      <c r="BH651" s="66"/>
      <c r="BI651" s="66"/>
      <c r="BJ651" s="66"/>
      <c r="BK651" s="66"/>
      <c r="BL651" s="66"/>
      <c r="BM651" s="66"/>
      <c r="BN651" s="66"/>
      <c r="BO651" s="66"/>
      <c r="BP651" s="66"/>
      <c r="BQ651" s="66"/>
      <c r="BR651" s="66"/>
      <c r="BS651" s="66"/>
      <c r="BT651" s="66"/>
      <c r="BU651" s="66"/>
      <c r="BV651" s="66"/>
      <c r="BW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  <c r="BF652" s="66"/>
      <c r="BG652" s="66"/>
      <c r="BH652" s="66"/>
      <c r="BI652" s="66"/>
      <c r="BJ652" s="66"/>
      <c r="BK652" s="66"/>
      <c r="BL652" s="66"/>
      <c r="BM652" s="66"/>
      <c r="BN652" s="66"/>
      <c r="BO652" s="66"/>
      <c r="BP652" s="66"/>
      <c r="BQ652" s="66"/>
      <c r="BR652" s="66"/>
      <c r="BS652" s="66"/>
      <c r="BT652" s="66"/>
      <c r="BU652" s="66"/>
      <c r="BV652" s="66"/>
      <c r="BW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  <c r="BF653" s="66"/>
      <c r="BG653" s="66"/>
      <c r="BH653" s="66"/>
      <c r="BI653" s="66"/>
      <c r="BJ653" s="66"/>
      <c r="BK653" s="66"/>
      <c r="BL653" s="66"/>
      <c r="BM653" s="66"/>
      <c r="BN653" s="66"/>
      <c r="BO653" s="66"/>
      <c r="BP653" s="66"/>
      <c r="BQ653" s="66"/>
      <c r="BR653" s="66"/>
      <c r="BS653" s="66"/>
      <c r="BT653" s="66"/>
      <c r="BU653" s="66"/>
      <c r="BV653" s="66"/>
      <c r="BW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  <c r="BF654" s="66"/>
      <c r="BG654" s="66"/>
      <c r="BH654" s="66"/>
      <c r="BI654" s="66"/>
      <c r="BJ654" s="66"/>
      <c r="BK654" s="66"/>
      <c r="BL654" s="66"/>
      <c r="BM654" s="66"/>
      <c r="BN654" s="66"/>
      <c r="BO654" s="66"/>
      <c r="BP654" s="66"/>
      <c r="BQ654" s="66"/>
      <c r="BR654" s="66"/>
      <c r="BS654" s="66"/>
      <c r="BT654" s="66"/>
      <c r="BU654" s="66"/>
      <c r="BV654" s="66"/>
      <c r="BW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  <c r="BD655" s="66"/>
      <c r="BE655" s="66"/>
      <c r="BF655" s="66"/>
      <c r="BG655" s="66"/>
      <c r="BH655" s="66"/>
      <c r="BI655" s="66"/>
      <c r="BJ655" s="66"/>
      <c r="BK655" s="66"/>
      <c r="BL655" s="66"/>
      <c r="BM655" s="66"/>
      <c r="BN655" s="66"/>
      <c r="BO655" s="66"/>
      <c r="BP655" s="66"/>
      <c r="BQ655" s="66"/>
      <c r="BR655" s="66"/>
      <c r="BS655" s="66"/>
      <c r="BT655" s="66"/>
      <c r="BU655" s="66"/>
      <c r="BV655" s="66"/>
      <c r="BW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6"/>
      <c r="BH656" s="66"/>
      <c r="BI656" s="66"/>
      <c r="BJ656" s="66"/>
      <c r="BK656" s="66"/>
      <c r="BL656" s="66"/>
      <c r="BM656" s="66"/>
      <c r="BN656" s="66"/>
      <c r="BO656" s="66"/>
      <c r="BP656" s="66"/>
      <c r="BQ656" s="66"/>
      <c r="BR656" s="66"/>
      <c r="BS656" s="66"/>
      <c r="BT656" s="66"/>
      <c r="BU656" s="66"/>
      <c r="BV656" s="66"/>
      <c r="BW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/>
      <c r="BJ657" s="66"/>
      <c r="BK657" s="66"/>
      <c r="BL657" s="66"/>
      <c r="BM657" s="66"/>
      <c r="BN657" s="66"/>
      <c r="BO657" s="66"/>
      <c r="BP657" s="66"/>
      <c r="BQ657" s="66"/>
      <c r="BR657" s="66"/>
      <c r="BS657" s="66"/>
      <c r="BT657" s="66"/>
      <c r="BU657" s="66"/>
      <c r="BV657" s="66"/>
      <c r="BW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  <c r="BD658" s="66"/>
      <c r="BE658" s="66"/>
      <c r="BF658" s="66"/>
      <c r="BG658" s="66"/>
      <c r="BH658" s="66"/>
      <c r="BI658" s="66"/>
      <c r="BJ658" s="66"/>
      <c r="BK658" s="66"/>
      <c r="BL658" s="66"/>
      <c r="BM658" s="66"/>
      <c r="BN658" s="66"/>
      <c r="BO658" s="66"/>
      <c r="BP658" s="66"/>
      <c r="BQ658" s="66"/>
      <c r="BR658" s="66"/>
      <c r="BS658" s="66"/>
      <c r="BT658" s="66"/>
      <c r="BU658" s="66"/>
      <c r="BV658" s="66"/>
      <c r="BW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  <c r="BD659" s="66"/>
      <c r="BE659" s="66"/>
      <c r="BF659" s="66"/>
      <c r="BG659" s="66"/>
      <c r="BH659" s="66"/>
      <c r="BI659" s="66"/>
      <c r="BJ659" s="66"/>
      <c r="BK659" s="66"/>
      <c r="BL659" s="66"/>
      <c r="BM659" s="66"/>
      <c r="BN659" s="66"/>
      <c r="BO659" s="66"/>
      <c r="BP659" s="66"/>
      <c r="BQ659" s="66"/>
      <c r="BR659" s="66"/>
      <c r="BS659" s="66"/>
      <c r="BT659" s="66"/>
      <c r="BU659" s="66"/>
      <c r="BV659" s="66"/>
      <c r="BW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  <c r="BD660" s="66"/>
      <c r="BE660" s="66"/>
      <c r="BF660" s="66"/>
      <c r="BG660" s="66"/>
      <c r="BH660" s="66"/>
      <c r="BI660" s="66"/>
      <c r="BJ660" s="66"/>
      <c r="BK660" s="66"/>
      <c r="BL660" s="66"/>
      <c r="BM660" s="66"/>
      <c r="BN660" s="66"/>
      <c r="BO660" s="66"/>
      <c r="BP660" s="66"/>
      <c r="BQ660" s="66"/>
      <c r="BR660" s="66"/>
      <c r="BS660" s="66"/>
      <c r="BT660" s="66"/>
      <c r="BU660" s="66"/>
      <c r="BV660" s="66"/>
      <c r="BW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  <c r="BF661" s="66"/>
      <c r="BG661" s="66"/>
      <c r="BH661" s="66"/>
      <c r="BI661" s="66"/>
      <c r="BJ661" s="66"/>
      <c r="BK661" s="66"/>
      <c r="BL661" s="66"/>
      <c r="BM661" s="66"/>
      <c r="BN661" s="66"/>
      <c r="BO661" s="66"/>
      <c r="BP661" s="66"/>
      <c r="BQ661" s="66"/>
      <c r="BR661" s="66"/>
      <c r="BS661" s="66"/>
      <c r="BT661" s="66"/>
      <c r="BU661" s="66"/>
      <c r="BV661" s="66"/>
      <c r="BW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  <c r="BD662" s="66"/>
      <c r="BE662" s="66"/>
      <c r="BF662" s="66"/>
      <c r="BG662" s="66"/>
      <c r="BH662" s="66"/>
      <c r="BI662" s="66"/>
      <c r="BJ662" s="66"/>
      <c r="BK662" s="66"/>
      <c r="BL662" s="66"/>
      <c r="BM662" s="66"/>
      <c r="BN662" s="66"/>
      <c r="BO662" s="66"/>
      <c r="BP662" s="66"/>
      <c r="BQ662" s="66"/>
      <c r="BR662" s="66"/>
      <c r="BS662" s="66"/>
      <c r="BT662" s="66"/>
      <c r="BU662" s="66"/>
      <c r="BV662" s="66"/>
      <c r="BW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  <c r="BF663" s="66"/>
      <c r="BG663" s="66"/>
      <c r="BH663" s="66"/>
      <c r="BI663" s="66"/>
      <c r="BJ663" s="66"/>
      <c r="BK663" s="66"/>
      <c r="BL663" s="66"/>
      <c r="BM663" s="66"/>
      <c r="BN663" s="66"/>
      <c r="BO663" s="66"/>
      <c r="BP663" s="66"/>
      <c r="BQ663" s="66"/>
      <c r="BR663" s="66"/>
      <c r="BS663" s="66"/>
      <c r="BT663" s="66"/>
      <c r="BU663" s="66"/>
      <c r="BV663" s="66"/>
      <c r="BW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  <c r="BF664" s="66"/>
      <c r="BG664" s="66"/>
      <c r="BH664" s="66"/>
      <c r="BI664" s="66"/>
      <c r="BJ664" s="66"/>
      <c r="BK664" s="66"/>
      <c r="BL664" s="66"/>
      <c r="BM664" s="66"/>
      <c r="BN664" s="66"/>
      <c r="BO664" s="66"/>
      <c r="BP664" s="66"/>
      <c r="BQ664" s="66"/>
      <c r="BR664" s="66"/>
      <c r="BS664" s="66"/>
      <c r="BT664" s="66"/>
      <c r="BU664" s="66"/>
      <c r="BV664" s="66"/>
      <c r="BW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  <c r="BF665" s="66"/>
      <c r="BG665" s="66"/>
      <c r="BH665" s="66"/>
      <c r="BI665" s="66"/>
      <c r="BJ665" s="66"/>
      <c r="BK665" s="66"/>
      <c r="BL665" s="66"/>
      <c r="BM665" s="66"/>
      <c r="BN665" s="66"/>
      <c r="BO665" s="66"/>
      <c r="BP665" s="66"/>
      <c r="BQ665" s="66"/>
      <c r="BR665" s="66"/>
      <c r="BS665" s="66"/>
      <c r="BT665" s="66"/>
      <c r="BU665" s="66"/>
      <c r="BV665" s="66"/>
      <c r="BW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  <c r="BF666" s="66"/>
      <c r="BG666" s="66"/>
      <c r="BH666" s="66"/>
      <c r="BI666" s="66"/>
      <c r="BJ666" s="66"/>
      <c r="BK666" s="66"/>
      <c r="BL666" s="66"/>
      <c r="BM666" s="66"/>
      <c r="BN666" s="66"/>
      <c r="BO666" s="66"/>
      <c r="BP666" s="66"/>
      <c r="BQ666" s="66"/>
      <c r="BR666" s="66"/>
      <c r="BS666" s="66"/>
      <c r="BT666" s="66"/>
      <c r="BU666" s="66"/>
      <c r="BV666" s="66"/>
      <c r="BW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  <c r="BF667" s="66"/>
      <c r="BG667" s="66"/>
      <c r="BH667" s="66"/>
      <c r="BI667" s="66"/>
      <c r="BJ667" s="66"/>
      <c r="BK667" s="66"/>
      <c r="BL667" s="66"/>
      <c r="BM667" s="66"/>
      <c r="BN667" s="66"/>
      <c r="BO667" s="66"/>
      <c r="BP667" s="66"/>
      <c r="BQ667" s="66"/>
      <c r="BR667" s="66"/>
      <c r="BS667" s="66"/>
      <c r="BT667" s="66"/>
      <c r="BU667" s="66"/>
      <c r="BV667" s="66"/>
      <c r="BW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  <c r="BF668" s="66"/>
      <c r="BG668" s="66"/>
      <c r="BH668" s="66"/>
      <c r="BI668" s="66"/>
      <c r="BJ668" s="66"/>
      <c r="BK668" s="66"/>
      <c r="BL668" s="66"/>
      <c r="BM668" s="66"/>
      <c r="BN668" s="66"/>
      <c r="BO668" s="66"/>
      <c r="BP668" s="66"/>
      <c r="BQ668" s="66"/>
      <c r="BR668" s="66"/>
      <c r="BS668" s="66"/>
      <c r="BT668" s="66"/>
      <c r="BU668" s="66"/>
      <c r="BV668" s="66"/>
      <c r="BW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  <c r="BD669" s="66"/>
      <c r="BE669" s="66"/>
      <c r="BF669" s="66"/>
      <c r="BG669" s="66"/>
      <c r="BH669" s="66"/>
      <c r="BI669" s="66"/>
      <c r="BJ669" s="66"/>
      <c r="BK669" s="66"/>
      <c r="BL669" s="66"/>
      <c r="BM669" s="66"/>
      <c r="BN669" s="66"/>
      <c r="BO669" s="66"/>
      <c r="BP669" s="66"/>
      <c r="BQ669" s="66"/>
      <c r="BR669" s="66"/>
      <c r="BS669" s="66"/>
      <c r="BT669" s="66"/>
      <c r="BU669" s="66"/>
      <c r="BV669" s="66"/>
      <c r="BW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  <c r="BD670" s="66"/>
      <c r="BE670" s="66"/>
      <c r="BF670" s="66"/>
      <c r="BG670" s="66"/>
      <c r="BH670" s="66"/>
      <c r="BI670" s="66"/>
      <c r="BJ670" s="66"/>
      <c r="BK670" s="66"/>
      <c r="BL670" s="66"/>
      <c r="BM670" s="66"/>
      <c r="BN670" s="66"/>
      <c r="BO670" s="66"/>
      <c r="BP670" s="66"/>
      <c r="BQ670" s="66"/>
      <c r="BR670" s="66"/>
      <c r="BS670" s="66"/>
      <c r="BT670" s="66"/>
      <c r="BU670" s="66"/>
      <c r="BV670" s="66"/>
      <c r="BW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  <c r="BF671" s="66"/>
      <c r="BG671" s="66"/>
      <c r="BH671" s="66"/>
      <c r="BI671" s="66"/>
      <c r="BJ671" s="66"/>
      <c r="BK671" s="66"/>
      <c r="BL671" s="66"/>
      <c r="BM671" s="66"/>
      <c r="BN671" s="66"/>
      <c r="BO671" s="66"/>
      <c r="BP671" s="66"/>
      <c r="BQ671" s="66"/>
      <c r="BR671" s="66"/>
      <c r="BS671" s="66"/>
      <c r="BT671" s="66"/>
      <c r="BU671" s="66"/>
      <c r="BV671" s="66"/>
      <c r="BW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  <c r="BD672" s="66"/>
      <c r="BE672" s="66"/>
      <c r="BF672" s="66"/>
      <c r="BG672" s="66"/>
      <c r="BH672" s="66"/>
      <c r="BI672" s="66"/>
      <c r="BJ672" s="66"/>
      <c r="BK672" s="66"/>
      <c r="BL672" s="66"/>
      <c r="BM672" s="66"/>
      <c r="BN672" s="66"/>
      <c r="BO672" s="66"/>
      <c r="BP672" s="66"/>
      <c r="BQ672" s="66"/>
      <c r="BR672" s="66"/>
      <c r="BS672" s="66"/>
      <c r="BT672" s="66"/>
      <c r="BU672" s="66"/>
      <c r="BV672" s="66"/>
      <c r="BW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  <c r="BF673" s="66"/>
      <c r="BG673" s="66"/>
      <c r="BH673" s="66"/>
      <c r="BI673" s="66"/>
      <c r="BJ673" s="66"/>
      <c r="BK673" s="66"/>
      <c r="BL673" s="66"/>
      <c r="BM673" s="66"/>
      <c r="BN673" s="66"/>
      <c r="BO673" s="66"/>
      <c r="BP673" s="66"/>
      <c r="BQ673" s="66"/>
      <c r="BR673" s="66"/>
      <c r="BS673" s="66"/>
      <c r="BT673" s="66"/>
      <c r="BU673" s="66"/>
      <c r="BV673" s="66"/>
      <c r="BW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  <c r="BD674" s="66"/>
      <c r="BE674" s="66"/>
      <c r="BF674" s="66"/>
      <c r="BG674" s="66"/>
      <c r="BH674" s="66"/>
      <c r="BI674" s="66"/>
      <c r="BJ674" s="66"/>
      <c r="BK674" s="66"/>
      <c r="BL674" s="66"/>
      <c r="BM674" s="66"/>
      <c r="BN674" s="66"/>
      <c r="BO674" s="66"/>
      <c r="BP674" s="66"/>
      <c r="BQ674" s="66"/>
      <c r="BR674" s="66"/>
      <c r="BS674" s="66"/>
      <c r="BT674" s="66"/>
      <c r="BU674" s="66"/>
      <c r="BV674" s="66"/>
      <c r="BW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  <c r="BF675" s="66"/>
      <c r="BG675" s="66"/>
      <c r="BH675" s="66"/>
      <c r="BI675" s="66"/>
      <c r="BJ675" s="66"/>
      <c r="BK675" s="66"/>
      <c r="BL675" s="66"/>
      <c r="BM675" s="66"/>
      <c r="BN675" s="66"/>
      <c r="BO675" s="66"/>
      <c r="BP675" s="66"/>
      <c r="BQ675" s="66"/>
      <c r="BR675" s="66"/>
      <c r="BS675" s="66"/>
      <c r="BT675" s="66"/>
      <c r="BU675" s="66"/>
      <c r="BV675" s="66"/>
      <c r="BW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  <c r="BF676" s="66"/>
      <c r="BG676" s="66"/>
      <c r="BH676" s="66"/>
      <c r="BI676" s="66"/>
      <c r="BJ676" s="66"/>
      <c r="BK676" s="66"/>
      <c r="BL676" s="66"/>
      <c r="BM676" s="66"/>
      <c r="BN676" s="66"/>
      <c r="BO676" s="66"/>
      <c r="BP676" s="66"/>
      <c r="BQ676" s="66"/>
      <c r="BR676" s="66"/>
      <c r="BS676" s="66"/>
      <c r="BT676" s="66"/>
      <c r="BU676" s="66"/>
      <c r="BV676" s="66"/>
      <c r="BW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  <c r="BF677" s="66"/>
      <c r="BG677" s="66"/>
      <c r="BH677" s="66"/>
      <c r="BI677" s="66"/>
      <c r="BJ677" s="66"/>
      <c r="BK677" s="66"/>
      <c r="BL677" s="66"/>
      <c r="BM677" s="66"/>
      <c r="BN677" s="66"/>
      <c r="BO677" s="66"/>
      <c r="BP677" s="66"/>
      <c r="BQ677" s="66"/>
      <c r="BR677" s="66"/>
      <c r="BS677" s="66"/>
      <c r="BT677" s="66"/>
      <c r="BU677" s="66"/>
      <c r="BV677" s="66"/>
      <c r="BW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  <c r="BD678" s="66"/>
      <c r="BE678" s="66"/>
      <c r="BF678" s="66"/>
      <c r="BG678" s="66"/>
      <c r="BH678" s="66"/>
      <c r="BI678" s="66"/>
      <c r="BJ678" s="66"/>
      <c r="BK678" s="66"/>
      <c r="BL678" s="66"/>
      <c r="BM678" s="66"/>
      <c r="BN678" s="66"/>
      <c r="BO678" s="66"/>
      <c r="BP678" s="66"/>
      <c r="BQ678" s="66"/>
      <c r="BR678" s="66"/>
      <c r="BS678" s="66"/>
      <c r="BT678" s="66"/>
      <c r="BU678" s="66"/>
      <c r="BV678" s="66"/>
      <c r="BW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  <c r="BD679" s="66"/>
      <c r="BE679" s="66"/>
      <c r="BF679" s="66"/>
      <c r="BG679" s="66"/>
      <c r="BH679" s="66"/>
      <c r="BI679" s="66"/>
      <c r="BJ679" s="66"/>
      <c r="BK679" s="66"/>
      <c r="BL679" s="66"/>
      <c r="BM679" s="66"/>
      <c r="BN679" s="66"/>
      <c r="BO679" s="66"/>
      <c r="BP679" s="66"/>
      <c r="BQ679" s="66"/>
      <c r="BR679" s="66"/>
      <c r="BS679" s="66"/>
      <c r="BT679" s="66"/>
      <c r="BU679" s="66"/>
      <c r="BV679" s="66"/>
      <c r="BW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  <c r="BF680" s="66"/>
      <c r="BG680" s="66"/>
      <c r="BH680" s="66"/>
      <c r="BI680" s="66"/>
      <c r="BJ680" s="66"/>
      <c r="BK680" s="66"/>
      <c r="BL680" s="66"/>
      <c r="BM680" s="66"/>
      <c r="BN680" s="66"/>
      <c r="BO680" s="66"/>
      <c r="BP680" s="66"/>
      <c r="BQ680" s="66"/>
      <c r="BR680" s="66"/>
      <c r="BS680" s="66"/>
      <c r="BT680" s="66"/>
      <c r="BU680" s="66"/>
      <c r="BV680" s="66"/>
      <c r="BW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  <c r="BF681" s="66"/>
      <c r="BG681" s="66"/>
      <c r="BH681" s="66"/>
      <c r="BI681" s="66"/>
      <c r="BJ681" s="66"/>
      <c r="BK681" s="66"/>
      <c r="BL681" s="66"/>
      <c r="BM681" s="66"/>
      <c r="BN681" s="66"/>
      <c r="BO681" s="66"/>
      <c r="BP681" s="66"/>
      <c r="BQ681" s="66"/>
      <c r="BR681" s="66"/>
      <c r="BS681" s="66"/>
      <c r="BT681" s="66"/>
      <c r="BU681" s="66"/>
      <c r="BV681" s="66"/>
      <c r="BW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  <c r="BF682" s="66"/>
      <c r="BG682" s="66"/>
      <c r="BH682" s="66"/>
      <c r="BI682" s="66"/>
      <c r="BJ682" s="66"/>
      <c r="BK682" s="66"/>
      <c r="BL682" s="66"/>
      <c r="BM682" s="66"/>
      <c r="BN682" s="66"/>
      <c r="BO682" s="66"/>
      <c r="BP682" s="66"/>
      <c r="BQ682" s="66"/>
      <c r="BR682" s="66"/>
      <c r="BS682" s="66"/>
      <c r="BT682" s="66"/>
      <c r="BU682" s="66"/>
      <c r="BV682" s="66"/>
      <c r="BW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  <c r="BF683" s="66"/>
      <c r="BG683" s="66"/>
      <c r="BH683" s="66"/>
      <c r="BI683" s="66"/>
      <c r="BJ683" s="66"/>
      <c r="BK683" s="66"/>
      <c r="BL683" s="66"/>
      <c r="BM683" s="66"/>
      <c r="BN683" s="66"/>
      <c r="BO683" s="66"/>
      <c r="BP683" s="66"/>
      <c r="BQ683" s="66"/>
      <c r="BR683" s="66"/>
      <c r="BS683" s="66"/>
      <c r="BT683" s="66"/>
      <c r="BU683" s="66"/>
      <c r="BV683" s="66"/>
      <c r="BW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  <c r="BD684" s="66"/>
      <c r="BE684" s="66"/>
      <c r="BF684" s="66"/>
      <c r="BG684" s="66"/>
      <c r="BH684" s="66"/>
      <c r="BI684" s="66"/>
      <c r="BJ684" s="66"/>
      <c r="BK684" s="66"/>
      <c r="BL684" s="66"/>
      <c r="BM684" s="66"/>
      <c r="BN684" s="66"/>
      <c r="BO684" s="66"/>
      <c r="BP684" s="66"/>
      <c r="BQ684" s="66"/>
      <c r="BR684" s="66"/>
      <c r="BS684" s="66"/>
      <c r="BT684" s="66"/>
      <c r="BU684" s="66"/>
      <c r="BV684" s="66"/>
      <c r="BW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  <c r="BF685" s="66"/>
      <c r="BG685" s="66"/>
      <c r="BH685" s="66"/>
      <c r="BI685" s="66"/>
      <c r="BJ685" s="66"/>
      <c r="BK685" s="66"/>
      <c r="BL685" s="66"/>
      <c r="BM685" s="66"/>
      <c r="BN685" s="66"/>
      <c r="BO685" s="66"/>
      <c r="BP685" s="66"/>
      <c r="BQ685" s="66"/>
      <c r="BR685" s="66"/>
      <c r="BS685" s="66"/>
      <c r="BT685" s="66"/>
      <c r="BU685" s="66"/>
      <c r="BV685" s="66"/>
      <c r="BW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/>
      <c r="BJ686" s="66"/>
      <c r="BK686" s="66"/>
      <c r="BL686" s="66"/>
      <c r="BM686" s="66"/>
      <c r="BN686" s="66"/>
      <c r="BO686" s="66"/>
      <c r="BP686" s="66"/>
      <c r="BQ686" s="66"/>
      <c r="BR686" s="66"/>
      <c r="BS686" s="66"/>
      <c r="BT686" s="66"/>
      <c r="BU686" s="66"/>
      <c r="BV686" s="66"/>
      <c r="BW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  <c r="BD687" s="66"/>
      <c r="BE687" s="66"/>
      <c r="BF687" s="66"/>
      <c r="BG687" s="66"/>
      <c r="BH687" s="66"/>
      <c r="BI687" s="66"/>
      <c r="BJ687" s="66"/>
      <c r="BK687" s="66"/>
      <c r="BL687" s="66"/>
      <c r="BM687" s="66"/>
      <c r="BN687" s="66"/>
      <c r="BO687" s="66"/>
      <c r="BP687" s="66"/>
      <c r="BQ687" s="66"/>
      <c r="BR687" s="66"/>
      <c r="BS687" s="66"/>
      <c r="BT687" s="66"/>
      <c r="BU687" s="66"/>
      <c r="BV687" s="66"/>
      <c r="BW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  <c r="BF688" s="66"/>
      <c r="BG688" s="66"/>
      <c r="BH688" s="66"/>
      <c r="BI688" s="66"/>
      <c r="BJ688" s="66"/>
      <c r="BK688" s="66"/>
      <c r="BL688" s="66"/>
      <c r="BM688" s="66"/>
      <c r="BN688" s="66"/>
      <c r="BO688" s="66"/>
      <c r="BP688" s="66"/>
      <c r="BQ688" s="66"/>
      <c r="BR688" s="66"/>
      <c r="BS688" s="66"/>
      <c r="BT688" s="66"/>
      <c r="BU688" s="66"/>
      <c r="BV688" s="66"/>
      <c r="BW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  <c r="BF689" s="66"/>
      <c r="BG689" s="66"/>
      <c r="BH689" s="66"/>
      <c r="BI689" s="66"/>
      <c r="BJ689" s="66"/>
      <c r="BK689" s="66"/>
      <c r="BL689" s="66"/>
      <c r="BM689" s="66"/>
      <c r="BN689" s="66"/>
      <c r="BO689" s="66"/>
      <c r="BP689" s="66"/>
      <c r="BQ689" s="66"/>
      <c r="BR689" s="66"/>
      <c r="BS689" s="66"/>
      <c r="BT689" s="66"/>
      <c r="BU689" s="66"/>
      <c r="BV689" s="66"/>
      <c r="BW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  <c r="BF690" s="66"/>
      <c r="BG690" s="66"/>
      <c r="BH690" s="66"/>
      <c r="BI690" s="66"/>
      <c r="BJ690" s="66"/>
      <c r="BK690" s="66"/>
      <c r="BL690" s="66"/>
      <c r="BM690" s="66"/>
      <c r="BN690" s="66"/>
      <c r="BO690" s="66"/>
      <c r="BP690" s="66"/>
      <c r="BQ690" s="66"/>
      <c r="BR690" s="66"/>
      <c r="BS690" s="66"/>
      <c r="BT690" s="66"/>
      <c r="BU690" s="66"/>
      <c r="BV690" s="66"/>
      <c r="BW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  <c r="BF691" s="66"/>
      <c r="BG691" s="66"/>
      <c r="BH691" s="66"/>
      <c r="BI691" s="66"/>
      <c r="BJ691" s="66"/>
      <c r="BK691" s="66"/>
      <c r="BL691" s="66"/>
      <c r="BM691" s="66"/>
      <c r="BN691" s="66"/>
      <c r="BO691" s="66"/>
      <c r="BP691" s="66"/>
      <c r="BQ691" s="66"/>
      <c r="BR691" s="66"/>
      <c r="BS691" s="66"/>
      <c r="BT691" s="66"/>
      <c r="BU691" s="66"/>
      <c r="BV691" s="66"/>
      <c r="BW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  <c r="BD692" s="66"/>
      <c r="BE692" s="66"/>
      <c r="BF692" s="66"/>
      <c r="BG692" s="66"/>
      <c r="BH692" s="66"/>
      <c r="BI692" s="66"/>
      <c r="BJ692" s="66"/>
      <c r="BK692" s="66"/>
      <c r="BL692" s="66"/>
      <c r="BM692" s="66"/>
      <c r="BN692" s="66"/>
      <c r="BO692" s="66"/>
      <c r="BP692" s="66"/>
      <c r="BQ692" s="66"/>
      <c r="BR692" s="66"/>
      <c r="BS692" s="66"/>
      <c r="BT692" s="66"/>
      <c r="BU692" s="66"/>
      <c r="BV692" s="66"/>
      <c r="BW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  <c r="BD693" s="66"/>
      <c r="BE693" s="66"/>
      <c r="BF693" s="66"/>
      <c r="BG693" s="66"/>
      <c r="BH693" s="66"/>
      <c r="BI693" s="66"/>
      <c r="BJ693" s="66"/>
      <c r="BK693" s="66"/>
      <c r="BL693" s="66"/>
      <c r="BM693" s="66"/>
      <c r="BN693" s="66"/>
      <c r="BO693" s="66"/>
      <c r="BP693" s="66"/>
      <c r="BQ693" s="66"/>
      <c r="BR693" s="66"/>
      <c r="BS693" s="66"/>
      <c r="BT693" s="66"/>
      <c r="BU693" s="66"/>
      <c r="BV693" s="66"/>
      <c r="BW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  <c r="BF694" s="66"/>
      <c r="BG694" s="66"/>
      <c r="BH694" s="66"/>
      <c r="BI694" s="66"/>
      <c r="BJ694" s="66"/>
      <c r="BK694" s="66"/>
      <c r="BL694" s="66"/>
      <c r="BM694" s="66"/>
      <c r="BN694" s="66"/>
      <c r="BO694" s="66"/>
      <c r="BP694" s="66"/>
      <c r="BQ694" s="66"/>
      <c r="BR694" s="66"/>
      <c r="BS694" s="66"/>
      <c r="BT694" s="66"/>
      <c r="BU694" s="66"/>
      <c r="BV694" s="66"/>
      <c r="BW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  <c r="BF695" s="66"/>
      <c r="BG695" s="66"/>
      <c r="BH695" s="66"/>
      <c r="BI695" s="66"/>
      <c r="BJ695" s="66"/>
      <c r="BK695" s="66"/>
      <c r="BL695" s="66"/>
      <c r="BM695" s="66"/>
      <c r="BN695" s="66"/>
      <c r="BO695" s="66"/>
      <c r="BP695" s="66"/>
      <c r="BQ695" s="66"/>
      <c r="BR695" s="66"/>
      <c r="BS695" s="66"/>
      <c r="BT695" s="66"/>
      <c r="BU695" s="66"/>
      <c r="BV695" s="66"/>
      <c r="BW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  <c r="BD696" s="66"/>
      <c r="BE696" s="66"/>
      <c r="BF696" s="66"/>
      <c r="BG696" s="66"/>
      <c r="BH696" s="66"/>
      <c r="BI696" s="66"/>
      <c r="BJ696" s="66"/>
      <c r="BK696" s="66"/>
      <c r="BL696" s="66"/>
      <c r="BM696" s="66"/>
      <c r="BN696" s="66"/>
      <c r="BO696" s="66"/>
      <c r="BP696" s="66"/>
      <c r="BQ696" s="66"/>
      <c r="BR696" s="66"/>
      <c r="BS696" s="66"/>
      <c r="BT696" s="66"/>
      <c r="BU696" s="66"/>
      <c r="BV696" s="66"/>
      <c r="BW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  <c r="BF697" s="66"/>
      <c r="BG697" s="66"/>
      <c r="BH697" s="66"/>
      <c r="BI697" s="66"/>
      <c r="BJ697" s="66"/>
      <c r="BK697" s="66"/>
      <c r="BL697" s="66"/>
      <c r="BM697" s="66"/>
      <c r="BN697" s="66"/>
      <c r="BO697" s="66"/>
      <c r="BP697" s="66"/>
      <c r="BQ697" s="66"/>
      <c r="BR697" s="66"/>
      <c r="BS697" s="66"/>
      <c r="BT697" s="66"/>
      <c r="BU697" s="66"/>
      <c r="BV697" s="66"/>
      <c r="BW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  <c r="BD698" s="66"/>
      <c r="BE698" s="66"/>
      <c r="BF698" s="66"/>
      <c r="BG698" s="66"/>
      <c r="BH698" s="66"/>
      <c r="BI698" s="66"/>
      <c r="BJ698" s="66"/>
      <c r="BK698" s="66"/>
      <c r="BL698" s="66"/>
      <c r="BM698" s="66"/>
      <c r="BN698" s="66"/>
      <c r="BO698" s="66"/>
      <c r="BP698" s="66"/>
      <c r="BQ698" s="66"/>
      <c r="BR698" s="66"/>
      <c r="BS698" s="66"/>
      <c r="BT698" s="66"/>
      <c r="BU698" s="66"/>
      <c r="BV698" s="66"/>
      <c r="BW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  <c r="BF699" s="66"/>
      <c r="BG699" s="66"/>
      <c r="BH699" s="66"/>
      <c r="BI699" s="66"/>
      <c r="BJ699" s="66"/>
      <c r="BK699" s="66"/>
      <c r="BL699" s="66"/>
      <c r="BM699" s="66"/>
      <c r="BN699" s="66"/>
      <c r="BO699" s="66"/>
      <c r="BP699" s="66"/>
      <c r="BQ699" s="66"/>
      <c r="BR699" s="66"/>
      <c r="BS699" s="66"/>
      <c r="BT699" s="66"/>
      <c r="BU699" s="66"/>
      <c r="BV699" s="66"/>
      <c r="BW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  <c r="BD700" s="66"/>
      <c r="BE700" s="66"/>
      <c r="BF700" s="66"/>
      <c r="BG700" s="66"/>
      <c r="BH700" s="66"/>
      <c r="BI700" s="66"/>
      <c r="BJ700" s="66"/>
      <c r="BK700" s="66"/>
      <c r="BL700" s="66"/>
      <c r="BM700" s="66"/>
      <c r="BN700" s="66"/>
      <c r="BO700" s="66"/>
      <c r="BP700" s="66"/>
      <c r="BQ700" s="66"/>
      <c r="BR700" s="66"/>
      <c r="BS700" s="66"/>
      <c r="BT700" s="66"/>
      <c r="BU700" s="66"/>
      <c r="BV700" s="66"/>
      <c r="BW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  <c r="BD701" s="66"/>
      <c r="BE701" s="66"/>
      <c r="BF701" s="66"/>
      <c r="BG701" s="66"/>
      <c r="BH701" s="66"/>
      <c r="BI701" s="66"/>
      <c r="BJ701" s="66"/>
      <c r="BK701" s="66"/>
      <c r="BL701" s="66"/>
      <c r="BM701" s="66"/>
      <c r="BN701" s="66"/>
      <c r="BO701" s="66"/>
      <c r="BP701" s="66"/>
      <c r="BQ701" s="66"/>
      <c r="BR701" s="66"/>
      <c r="BS701" s="66"/>
      <c r="BT701" s="66"/>
      <c r="BU701" s="66"/>
      <c r="BV701" s="66"/>
      <c r="BW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  <c r="BF702" s="66"/>
      <c r="BG702" s="66"/>
      <c r="BH702" s="66"/>
      <c r="BI702" s="66"/>
      <c r="BJ702" s="66"/>
      <c r="BK702" s="66"/>
      <c r="BL702" s="66"/>
      <c r="BM702" s="66"/>
      <c r="BN702" s="66"/>
      <c r="BO702" s="66"/>
      <c r="BP702" s="66"/>
      <c r="BQ702" s="66"/>
      <c r="BR702" s="66"/>
      <c r="BS702" s="66"/>
      <c r="BT702" s="66"/>
      <c r="BU702" s="66"/>
      <c r="BV702" s="66"/>
      <c r="BW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  <c r="BD703" s="66"/>
      <c r="BE703" s="66"/>
      <c r="BF703" s="66"/>
      <c r="BG703" s="66"/>
      <c r="BH703" s="66"/>
      <c r="BI703" s="66"/>
      <c r="BJ703" s="66"/>
      <c r="BK703" s="66"/>
      <c r="BL703" s="66"/>
      <c r="BM703" s="66"/>
      <c r="BN703" s="66"/>
      <c r="BO703" s="66"/>
      <c r="BP703" s="66"/>
      <c r="BQ703" s="66"/>
      <c r="BR703" s="66"/>
      <c r="BS703" s="66"/>
      <c r="BT703" s="66"/>
      <c r="BU703" s="66"/>
      <c r="BV703" s="66"/>
      <c r="BW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/>
      <c r="BJ704" s="66"/>
      <c r="BK704" s="66"/>
      <c r="BL704" s="66"/>
      <c r="BM704" s="66"/>
      <c r="BN704" s="66"/>
      <c r="BO704" s="66"/>
      <c r="BP704" s="66"/>
      <c r="BQ704" s="66"/>
      <c r="BR704" s="66"/>
      <c r="BS704" s="66"/>
      <c r="BT704" s="66"/>
      <c r="BU704" s="66"/>
      <c r="BV704" s="66"/>
      <c r="BW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/>
      <c r="BJ705" s="66"/>
      <c r="BK705" s="66"/>
      <c r="BL705" s="66"/>
      <c r="BM705" s="66"/>
      <c r="BN705" s="66"/>
      <c r="BO705" s="66"/>
      <c r="BP705" s="66"/>
      <c r="BQ705" s="66"/>
      <c r="BR705" s="66"/>
      <c r="BS705" s="66"/>
      <c r="BT705" s="66"/>
      <c r="BU705" s="66"/>
      <c r="BV705" s="66"/>
      <c r="BW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/>
      <c r="BJ706" s="66"/>
      <c r="BK706" s="66"/>
      <c r="BL706" s="66"/>
      <c r="BM706" s="66"/>
      <c r="BN706" s="66"/>
      <c r="BO706" s="66"/>
      <c r="BP706" s="66"/>
      <c r="BQ706" s="66"/>
      <c r="BR706" s="66"/>
      <c r="BS706" s="66"/>
      <c r="BT706" s="66"/>
      <c r="BU706" s="66"/>
      <c r="BV706" s="66"/>
      <c r="BW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  <c r="BF707" s="66"/>
      <c r="BG707" s="66"/>
      <c r="BH707" s="66"/>
      <c r="BI707" s="66"/>
      <c r="BJ707" s="66"/>
      <c r="BK707" s="66"/>
      <c r="BL707" s="66"/>
      <c r="BM707" s="66"/>
      <c r="BN707" s="66"/>
      <c r="BO707" s="66"/>
      <c r="BP707" s="66"/>
      <c r="BQ707" s="66"/>
      <c r="BR707" s="66"/>
      <c r="BS707" s="66"/>
      <c r="BT707" s="66"/>
      <c r="BU707" s="66"/>
      <c r="BV707" s="66"/>
      <c r="BW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/>
      <c r="BJ708" s="66"/>
      <c r="BK708" s="66"/>
      <c r="BL708" s="66"/>
      <c r="BM708" s="66"/>
      <c r="BN708" s="66"/>
      <c r="BO708" s="66"/>
      <c r="BP708" s="66"/>
      <c r="BQ708" s="66"/>
      <c r="BR708" s="66"/>
      <c r="BS708" s="66"/>
      <c r="BT708" s="66"/>
      <c r="BU708" s="66"/>
      <c r="BV708" s="66"/>
      <c r="BW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  <c r="BF709" s="66"/>
      <c r="BG709" s="66"/>
      <c r="BH709" s="66"/>
      <c r="BI709" s="66"/>
      <c r="BJ709" s="66"/>
      <c r="BK709" s="66"/>
      <c r="BL709" s="66"/>
      <c r="BM709" s="66"/>
      <c r="BN709" s="66"/>
      <c r="BO709" s="66"/>
      <c r="BP709" s="66"/>
      <c r="BQ709" s="66"/>
      <c r="BR709" s="66"/>
      <c r="BS709" s="66"/>
      <c r="BT709" s="66"/>
      <c r="BU709" s="66"/>
      <c r="BV709" s="66"/>
      <c r="BW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/>
      <c r="BJ710" s="66"/>
      <c r="BK710" s="66"/>
      <c r="BL710" s="66"/>
      <c r="BM710" s="66"/>
      <c r="BN710" s="66"/>
      <c r="BO710" s="66"/>
      <c r="BP710" s="66"/>
      <c r="BQ710" s="66"/>
      <c r="BR710" s="66"/>
      <c r="BS710" s="66"/>
      <c r="BT710" s="66"/>
      <c r="BU710" s="66"/>
      <c r="BV710" s="66"/>
      <c r="BW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  <c r="BF711" s="66"/>
      <c r="BG711" s="66"/>
      <c r="BH711" s="66"/>
      <c r="BI711" s="66"/>
      <c r="BJ711" s="66"/>
      <c r="BK711" s="66"/>
      <c r="BL711" s="66"/>
      <c r="BM711" s="66"/>
      <c r="BN711" s="66"/>
      <c r="BO711" s="66"/>
      <c r="BP711" s="66"/>
      <c r="BQ711" s="66"/>
      <c r="BR711" s="66"/>
      <c r="BS711" s="66"/>
      <c r="BT711" s="66"/>
      <c r="BU711" s="66"/>
      <c r="BV711" s="66"/>
      <c r="BW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/>
      <c r="BJ712" s="66"/>
      <c r="BK712" s="66"/>
      <c r="BL712" s="66"/>
      <c r="BM712" s="66"/>
      <c r="BN712" s="66"/>
      <c r="BO712" s="66"/>
      <c r="BP712" s="66"/>
      <c r="BQ712" s="66"/>
      <c r="BR712" s="66"/>
      <c r="BS712" s="66"/>
      <c r="BT712" s="66"/>
      <c r="BU712" s="66"/>
      <c r="BV712" s="66"/>
      <c r="BW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  <c r="BF713" s="66"/>
      <c r="BG713" s="66"/>
      <c r="BH713" s="66"/>
      <c r="BI713" s="66"/>
      <c r="BJ713" s="66"/>
      <c r="BK713" s="66"/>
      <c r="BL713" s="66"/>
      <c r="BM713" s="66"/>
      <c r="BN713" s="66"/>
      <c r="BO713" s="66"/>
      <c r="BP713" s="66"/>
      <c r="BQ713" s="66"/>
      <c r="BR713" s="66"/>
      <c r="BS713" s="66"/>
      <c r="BT713" s="66"/>
      <c r="BU713" s="66"/>
      <c r="BV713" s="66"/>
      <c r="BW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/>
      <c r="BJ714" s="66"/>
      <c r="BK714" s="66"/>
      <c r="BL714" s="66"/>
      <c r="BM714" s="66"/>
      <c r="BN714" s="66"/>
      <c r="BO714" s="66"/>
      <c r="BP714" s="66"/>
      <c r="BQ714" s="66"/>
      <c r="BR714" s="66"/>
      <c r="BS714" s="66"/>
      <c r="BT714" s="66"/>
      <c r="BU714" s="66"/>
      <c r="BV714" s="66"/>
      <c r="BW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/>
      <c r="BJ715" s="66"/>
      <c r="BK715" s="66"/>
      <c r="BL715" s="66"/>
      <c r="BM715" s="66"/>
      <c r="BN715" s="66"/>
      <c r="BO715" s="66"/>
      <c r="BP715" s="66"/>
      <c r="BQ715" s="66"/>
      <c r="BR715" s="66"/>
      <c r="BS715" s="66"/>
      <c r="BT715" s="66"/>
      <c r="BU715" s="66"/>
      <c r="BV715" s="66"/>
      <c r="BW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/>
      <c r="BJ716" s="66"/>
      <c r="BK716" s="66"/>
      <c r="BL716" s="66"/>
      <c r="BM716" s="66"/>
      <c r="BN716" s="66"/>
      <c r="BO716" s="66"/>
      <c r="BP716" s="66"/>
      <c r="BQ716" s="66"/>
      <c r="BR716" s="66"/>
      <c r="BS716" s="66"/>
      <c r="BT716" s="66"/>
      <c r="BU716" s="66"/>
      <c r="BV716" s="66"/>
      <c r="BW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/>
      <c r="BJ717" s="66"/>
      <c r="BK717" s="66"/>
      <c r="BL717" s="66"/>
      <c r="BM717" s="66"/>
      <c r="BN717" s="66"/>
      <c r="BO717" s="66"/>
      <c r="BP717" s="66"/>
      <c r="BQ717" s="66"/>
      <c r="BR717" s="66"/>
      <c r="BS717" s="66"/>
      <c r="BT717" s="66"/>
      <c r="BU717" s="66"/>
      <c r="BV717" s="66"/>
      <c r="BW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/>
      <c r="BJ718" s="66"/>
      <c r="BK718" s="66"/>
      <c r="BL718" s="66"/>
      <c r="BM718" s="66"/>
      <c r="BN718" s="66"/>
      <c r="BO718" s="66"/>
      <c r="BP718" s="66"/>
      <c r="BQ718" s="66"/>
      <c r="BR718" s="66"/>
      <c r="BS718" s="66"/>
      <c r="BT718" s="66"/>
      <c r="BU718" s="66"/>
      <c r="BV718" s="66"/>
      <c r="BW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/>
      <c r="BJ719" s="66"/>
      <c r="BK719" s="66"/>
      <c r="BL719" s="66"/>
      <c r="BM719" s="66"/>
      <c r="BN719" s="66"/>
      <c r="BO719" s="66"/>
      <c r="BP719" s="66"/>
      <c r="BQ719" s="66"/>
      <c r="BR719" s="66"/>
      <c r="BS719" s="66"/>
      <c r="BT719" s="66"/>
      <c r="BU719" s="66"/>
      <c r="BV719" s="66"/>
      <c r="BW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/>
      <c r="BJ720" s="66"/>
      <c r="BK720" s="66"/>
      <c r="BL720" s="66"/>
      <c r="BM720" s="66"/>
      <c r="BN720" s="66"/>
      <c r="BO720" s="66"/>
      <c r="BP720" s="66"/>
      <c r="BQ720" s="66"/>
      <c r="BR720" s="66"/>
      <c r="BS720" s="66"/>
      <c r="BT720" s="66"/>
      <c r="BU720" s="66"/>
      <c r="BV720" s="66"/>
      <c r="BW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  <c r="BF721" s="66"/>
      <c r="BG721" s="66"/>
      <c r="BH721" s="66"/>
      <c r="BI721" s="66"/>
      <c r="BJ721" s="66"/>
      <c r="BK721" s="66"/>
      <c r="BL721" s="66"/>
      <c r="BM721" s="66"/>
      <c r="BN721" s="66"/>
      <c r="BO721" s="66"/>
      <c r="BP721" s="66"/>
      <c r="BQ721" s="66"/>
      <c r="BR721" s="66"/>
      <c r="BS721" s="66"/>
      <c r="BT721" s="66"/>
      <c r="BU721" s="66"/>
      <c r="BV721" s="66"/>
      <c r="BW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/>
      <c r="BJ722" s="66"/>
      <c r="BK722" s="66"/>
      <c r="BL722" s="66"/>
      <c r="BM722" s="66"/>
      <c r="BN722" s="66"/>
      <c r="BO722" s="66"/>
      <c r="BP722" s="66"/>
      <c r="BQ722" s="66"/>
      <c r="BR722" s="66"/>
      <c r="BS722" s="66"/>
      <c r="BT722" s="66"/>
      <c r="BU722" s="66"/>
      <c r="BV722" s="66"/>
      <c r="BW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  <c r="BF723" s="66"/>
      <c r="BG723" s="66"/>
      <c r="BH723" s="66"/>
      <c r="BI723" s="66"/>
      <c r="BJ723" s="66"/>
      <c r="BK723" s="66"/>
      <c r="BL723" s="66"/>
      <c r="BM723" s="66"/>
      <c r="BN723" s="66"/>
      <c r="BO723" s="66"/>
      <c r="BP723" s="66"/>
      <c r="BQ723" s="66"/>
      <c r="BR723" s="66"/>
      <c r="BS723" s="66"/>
      <c r="BT723" s="66"/>
      <c r="BU723" s="66"/>
      <c r="BV723" s="66"/>
      <c r="BW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/>
      <c r="BJ724" s="66"/>
      <c r="BK724" s="66"/>
      <c r="BL724" s="66"/>
      <c r="BM724" s="66"/>
      <c r="BN724" s="66"/>
      <c r="BO724" s="66"/>
      <c r="BP724" s="66"/>
      <c r="BQ724" s="66"/>
      <c r="BR724" s="66"/>
      <c r="BS724" s="66"/>
      <c r="BT724" s="66"/>
      <c r="BU724" s="66"/>
      <c r="BV724" s="66"/>
      <c r="BW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/>
      <c r="BJ725" s="66"/>
      <c r="BK725" s="66"/>
      <c r="BL725" s="66"/>
      <c r="BM725" s="66"/>
      <c r="BN725" s="66"/>
      <c r="BO725" s="66"/>
      <c r="BP725" s="66"/>
      <c r="BQ725" s="66"/>
      <c r="BR725" s="66"/>
      <c r="BS725" s="66"/>
      <c r="BT725" s="66"/>
      <c r="BU725" s="66"/>
      <c r="BV725" s="66"/>
      <c r="BW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/>
      <c r="BJ726" s="66"/>
      <c r="BK726" s="66"/>
      <c r="BL726" s="66"/>
      <c r="BM726" s="66"/>
      <c r="BN726" s="66"/>
      <c r="BO726" s="66"/>
      <c r="BP726" s="66"/>
      <c r="BQ726" s="66"/>
      <c r="BR726" s="66"/>
      <c r="BS726" s="66"/>
      <c r="BT726" s="66"/>
      <c r="BU726" s="66"/>
      <c r="BV726" s="66"/>
      <c r="BW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  <c r="BF727" s="66"/>
      <c r="BG727" s="66"/>
      <c r="BH727" s="66"/>
      <c r="BI727" s="66"/>
      <c r="BJ727" s="66"/>
      <c r="BK727" s="66"/>
      <c r="BL727" s="66"/>
      <c r="BM727" s="66"/>
      <c r="BN727" s="66"/>
      <c r="BO727" s="66"/>
      <c r="BP727" s="66"/>
      <c r="BQ727" s="66"/>
      <c r="BR727" s="66"/>
      <c r="BS727" s="66"/>
      <c r="BT727" s="66"/>
      <c r="BU727" s="66"/>
      <c r="BV727" s="66"/>
      <c r="BW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/>
      <c r="BJ728" s="66"/>
      <c r="BK728" s="66"/>
      <c r="BL728" s="66"/>
      <c r="BM728" s="66"/>
      <c r="BN728" s="66"/>
      <c r="BO728" s="66"/>
      <c r="BP728" s="66"/>
      <c r="BQ728" s="66"/>
      <c r="BR728" s="66"/>
      <c r="BS728" s="66"/>
      <c r="BT728" s="66"/>
      <c r="BU728" s="66"/>
      <c r="BV728" s="66"/>
      <c r="BW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  <c r="BF729" s="66"/>
      <c r="BG729" s="66"/>
      <c r="BH729" s="66"/>
      <c r="BI729" s="66"/>
      <c r="BJ729" s="66"/>
      <c r="BK729" s="66"/>
      <c r="BL729" s="66"/>
      <c r="BM729" s="66"/>
      <c r="BN729" s="66"/>
      <c r="BO729" s="66"/>
      <c r="BP729" s="66"/>
      <c r="BQ729" s="66"/>
      <c r="BR729" s="66"/>
      <c r="BS729" s="66"/>
      <c r="BT729" s="66"/>
      <c r="BU729" s="66"/>
      <c r="BV729" s="66"/>
      <c r="BW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/>
      <c r="BJ730" s="66"/>
      <c r="BK730" s="66"/>
      <c r="BL730" s="66"/>
      <c r="BM730" s="66"/>
      <c r="BN730" s="66"/>
      <c r="BO730" s="66"/>
      <c r="BP730" s="66"/>
      <c r="BQ730" s="66"/>
      <c r="BR730" s="66"/>
      <c r="BS730" s="66"/>
      <c r="BT730" s="66"/>
      <c r="BU730" s="66"/>
      <c r="BV730" s="66"/>
      <c r="BW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/>
      <c r="BJ731" s="66"/>
      <c r="BK731" s="66"/>
      <c r="BL731" s="66"/>
      <c r="BM731" s="66"/>
      <c r="BN731" s="66"/>
      <c r="BO731" s="66"/>
      <c r="BP731" s="66"/>
      <c r="BQ731" s="66"/>
      <c r="BR731" s="66"/>
      <c r="BS731" s="66"/>
      <c r="BT731" s="66"/>
      <c r="BU731" s="66"/>
      <c r="BV731" s="66"/>
      <c r="BW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/>
      <c r="BJ732" s="66"/>
      <c r="BK732" s="66"/>
      <c r="BL732" s="66"/>
      <c r="BM732" s="66"/>
      <c r="BN732" s="66"/>
      <c r="BO732" s="66"/>
      <c r="BP732" s="66"/>
      <c r="BQ732" s="66"/>
      <c r="BR732" s="66"/>
      <c r="BS732" s="66"/>
      <c r="BT732" s="66"/>
      <c r="BU732" s="66"/>
      <c r="BV732" s="66"/>
      <c r="BW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/>
      <c r="BJ733" s="66"/>
      <c r="BK733" s="66"/>
      <c r="BL733" s="66"/>
      <c r="BM733" s="66"/>
      <c r="BN733" s="66"/>
      <c r="BO733" s="66"/>
      <c r="BP733" s="66"/>
      <c r="BQ733" s="66"/>
      <c r="BR733" s="66"/>
      <c r="BS733" s="66"/>
      <c r="BT733" s="66"/>
      <c r="BU733" s="66"/>
      <c r="BV733" s="66"/>
      <c r="BW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/>
      <c r="BJ734" s="66"/>
      <c r="BK734" s="66"/>
      <c r="BL734" s="66"/>
      <c r="BM734" s="66"/>
      <c r="BN734" s="66"/>
      <c r="BO734" s="66"/>
      <c r="BP734" s="66"/>
      <c r="BQ734" s="66"/>
      <c r="BR734" s="66"/>
      <c r="BS734" s="66"/>
      <c r="BT734" s="66"/>
      <c r="BU734" s="66"/>
      <c r="BV734" s="66"/>
      <c r="BW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/>
      <c r="BJ735" s="66"/>
      <c r="BK735" s="66"/>
      <c r="BL735" s="66"/>
      <c r="BM735" s="66"/>
      <c r="BN735" s="66"/>
      <c r="BO735" s="66"/>
      <c r="BP735" s="66"/>
      <c r="BQ735" s="66"/>
      <c r="BR735" s="66"/>
      <c r="BS735" s="66"/>
      <c r="BT735" s="66"/>
      <c r="BU735" s="66"/>
      <c r="BV735" s="66"/>
      <c r="BW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/>
      <c r="BJ736" s="66"/>
      <c r="BK736" s="66"/>
      <c r="BL736" s="66"/>
      <c r="BM736" s="66"/>
      <c r="BN736" s="66"/>
      <c r="BO736" s="66"/>
      <c r="BP736" s="66"/>
      <c r="BQ736" s="66"/>
      <c r="BR736" s="66"/>
      <c r="BS736" s="66"/>
      <c r="BT736" s="66"/>
      <c r="BU736" s="66"/>
      <c r="BV736" s="66"/>
      <c r="BW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  <c r="BF737" s="66"/>
      <c r="BG737" s="66"/>
      <c r="BH737" s="66"/>
      <c r="BI737" s="66"/>
      <c r="BJ737" s="66"/>
      <c r="BK737" s="66"/>
      <c r="BL737" s="66"/>
      <c r="BM737" s="66"/>
      <c r="BN737" s="66"/>
      <c r="BO737" s="66"/>
      <c r="BP737" s="66"/>
      <c r="BQ737" s="66"/>
      <c r="BR737" s="66"/>
      <c r="BS737" s="66"/>
      <c r="BT737" s="66"/>
      <c r="BU737" s="66"/>
      <c r="BV737" s="66"/>
      <c r="BW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/>
      <c r="BJ738" s="66"/>
      <c r="BK738" s="66"/>
      <c r="BL738" s="66"/>
      <c r="BM738" s="66"/>
      <c r="BN738" s="66"/>
      <c r="BO738" s="66"/>
      <c r="BP738" s="66"/>
      <c r="BQ738" s="66"/>
      <c r="BR738" s="66"/>
      <c r="BS738" s="66"/>
      <c r="BT738" s="66"/>
      <c r="BU738" s="66"/>
      <c r="BV738" s="66"/>
      <c r="BW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/>
      <c r="BJ739" s="66"/>
      <c r="BK739" s="66"/>
      <c r="BL739" s="66"/>
      <c r="BM739" s="66"/>
      <c r="BN739" s="66"/>
      <c r="BO739" s="66"/>
      <c r="BP739" s="66"/>
      <c r="BQ739" s="66"/>
      <c r="BR739" s="66"/>
      <c r="BS739" s="66"/>
      <c r="BT739" s="66"/>
      <c r="BU739" s="66"/>
      <c r="BV739" s="66"/>
      <c r="BW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/>
      <c r="BJ740" s="66"/>
      <c r="BK740" s="66"/>
      <c r="BL740" s="66"/>
      <c r="BM740" s="66"/>
      <c r="BN740" s="66"/>
      <c r="BO740" s="66"/>
      <c r="BP740" s="66"/>
      <c r="BQ740" s="66"/>
      <c r="BR740" s="66"/>
      <c r="BS740" s="66"/>
      <c r="BT740" s="66"/>
      <c r="BU740" s="66"/>
      <c r="BV740" s="66"/>
      <c r="BW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  <c r="BF741" s="66"/>
      <c r="BG741" s="66"/>
      <c r="BH741" s="66"/>
      <c r="BI741" s="66"/>
      <c r="BJ741" s="66"/>
      <c r="BK741" s="66"/>
      <c r="BL741" s="66"/>
      <c r="BM741" s="66"/>
      <c r="BN741" s="66"/>
      <c r="BO741" s="66"/>
      <c r="BP741" s="66"/>
      <c r="BQ741" s="66"/>
      <c r="BR741" s="66"/>
      <c r="BS741" s="66"/>
      <c r="BT741" s="66"/>
      <c r="BU741" s="66"/>
      <c r="BV741" s="66"/>
      <c r="BW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/>
      <c r="BJ742" s="66"/>
      <c r="BK742" s="66"/>
      <c r="BL742" s="66"/>
      <c r="BM742" s="66"/>
      <c r="BN742" s="66"/>
      <c r="BO742" s="66"/>
      <c r="BP742" s="66"/>
      <c r="BQ742" s="66"/>
      <c r="BR742" s="66"/>
      <c r="BS742" s="66"/>
      <c r="BT742" s="66"/>
      <c r="BU742" s="66"/>
      <c r="BV742" s="66"/>
      <c r="BW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/>
      <c r="BJ743" s="66"/>
      <c r="BK743" s="66"/>
      <c r="BL743" s="66"/>
      <c r="BM743" s="66"/>
      <c r="BN743" s="66"/>
      <c r="BO743" s="66"/>
      <c r="BP743" s="66"/>
      <c r="BQ743" s="66"/>
      <c r="BR743" s="66"/>
      <c r="BS743" s="66"/>
      <c r="BT743" s="66"/>
      <c r="BU743" s="66"/>
      <c r="BV743" s="66"/>
      <c r="BW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/>
      <c r="BJ744" s="66"/>
      <c r="BK744" s="66"/>
      <c r="BL744" s="66"/>
      <c r="BM744" s="66"/>
      <c r="BN744" s="66"/>
      <c r="BO744" s="66"/>
      <c r="BP744" s="66"/>
      <c r="BQ744" s="66"/>
      <c r="BR744" s="66"/>
      <c r="BS744" s="66"/>
      <c r="BT744" s="66"/>
      <c r="BU744" s="66"/>
      <c r="BV744" s="66"/>
      <c r="BW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  <c r="BF745" s="66"/>
      <c r="BG745" s="66"/>
      <c r="BH745" s="66"/>
      <c r="BI745" s="66"/>
      <c r="BJ745" s="66"/>
      <c r="BK745" s="66"/>
      <c r="BL745" s="66"/>
      <c r="BM745" s="66"/>
      <c r="BN745" s="66"/>
      <c r="BO745" s="66"/>
      <c r="BP745" s="66"/>
      <c r="BQ745" s="66"/>
      <c r="BR745" s="66"/>
      <c r="BS745" s="66"/>
      <c r="BT745" s="66"/>
      <c r="BU745" s="66"/>
      <c r="BV745" s="66"/>
      <c r="BW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  <c r="BF746" s="66"/>
      <c r="BG746" s="66"/>
      <c r="BH746" s="66"/>
      <c r="BI746" s="66"/>
      <c r="BJ746" s="66"/>
      <c r="BK746" s="66"/>
      <c r="BL746" s="66"/>
      <c r="BM746" s="66"/>
      <c r="BN746" s="66"/>
      <c r="BO746" s="66"/>
      <c r="BP746" s="66"/>
      <c r="BQ746" s="66"/>
      <c r="BR746" s="66"/>
      <c r="BS746" s="66"/>
      <c r="BT746" s="66"/>
      <c r="BU746" s="66"/>
      <c r="BV746" s="66"/>
      <c r="BW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  <c r="BD747" s="66"/>
      <c r="BE747" s="66"/>
      <c r="BF747" s="66"/>
      <c r="BG747" s="66"/>
      <c r="BH747" s="66"/>
      <c r="BI747" s="66"/>
      <c r="BJ747" s="66"/>
      <c r="BK747" s="66"/>
      <c r="BL747" s="66"/>
      <c r="BM747" s="66"/>
      <c r="BN747" s="66"/>
      <c r="BO747" s="66"/>
      <c r="BP747" s="66"/>
      <c r="BQ747" s="66"/>
      <c r="BR747" s="66"/>
      <c r="BS747" s="66"/>
      <c r="BT747" s="66"/>
      <c r="BU747" s="66"/>
      <c r="BV747" s="66"/>
      <c r="BW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  <c r="BD748" s="66"/>
      <c r="BE748" s="66"/>
      <c r="BF748" s="66"/>
      <c r="BG748" s="66"/>
      <c r="BH748" s="66"/>
      <c r="BI748" s="66"/>
      <c r="BJ748" s="66"/>
      <c r="BK748" s="66"/>
      <c r="BL748" s="66"/>
      <c r="BM748" s="66"/>
      <c r="BN748" s="66"/>
      <c r="BO748" s="66"/>
      <c r="BP748" s="66"/>
      <c r="BQ748" s="66"/>
      <c r="BR748" s="66"/>
      <c r="BS748" s="66"/>
      <c r="BT748" s="66"/>
      <c r="BU748" s="66"/>
      <c r="BV748" s="66"/>
      <c r="BW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  <c r="BD749" s="66"/>
      <c r="BE749" s="66"/>
      <c r="BF749" s="66"/>
      <c r="BG749" s="66"/>
      <c r="BH749" s="66"/>
      <c r="BI749" s="66"/>
      <c r="BJ749" s="66"/>
      <c r="BK749" s="66"/>
      <c r="BL749" s="66"/>
      <c r="BM749" s="66"/>
      <c r="BN749" s="66"/>
      <c r="BO749" s="66"/>
      <c r="BP749" s="66"/>
      <c r="BQ749" s="66"/>
      <c r="BR749" s="66"/>
      <c r="BS749" s="66"/>
      <c r="BT749" s="66"/>
      <c r="BU749" s="66"/>
      <c r="BV749" s="66"/>
      <c r="BW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  <c r="BF750" s="66"/>
      <c r="BG750" s="66"/>
      <c r="BH750" s="66"/>
      <c r="BI750" s="66"/>
      <c r="BJ750" s="66"/>
      <c r="BK750" s="66"/>
      <c r="BL750" s="66"/>
      <c r="BM750" s="66"/>
      <c r="BN750" s="66"/>
      <c r="BO750" s="66"/>
      <c r="BP750" s="66"/>
      <c r="BQ750" s="66"/>
      <c r="BR750" s="66"/>
      <c r="BS750" s="66"/>
      <c r="BT750" s="66"/>
      <c r="BU750" s="66"/>
      <c r="BV750" s="66"/>
      <c r="BW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  <c r="BD751" s="66"/>
      <c r="BE751" s="66"/>
      <c r="BF751" s="66"/>
      <c r="BG751" s="66"/>
      <c r="BH751" s="66"/>
      <c r="BI751" s="66"/>
      <c r="BJ751" s="66"/>
      <c r="BK751" s="66"/>
      <c r="BL751" s="66"/>
      <c r="BM751" s="66"/>
      <c r="BN751" s="66"/>
      <c r="BO751" s="66"/>
      <c r="BP751" s="66"/>
      <c r="BQ751" s="66"/>
      <c r="BR751" s="66"/>
      <c r="BS751" s="66"/>
      <c r="BT751" s="66"/>
      <c r="BU751" s="66"/>
      <c r="BV751" s="66"/>
      <c r="BW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  <c r="BF752" s="66"/>
      <c r="BG752" s="66"/>
      <c r="BH752" s="66"/>
      <c r="BI752" s="66"/>
      <c r="BJ752" s="66"/>
      <c r="BK752" s="66"/>
      <c r="BL752" s="66"/>
      <c r="BM752" s="66"/>
      <c r="BN752" s="66"/>
      <c r="BO752" s="66"/>
      <c r="BP752" s="66"/>
      <c r="BQ752" s="66"/>
      <c r="BR752" s="66"/>
      <c r="BS752" s="66"/>
      <c r="BT752" s="66"/>
      <c r="BU752" s="66"/>
      <c r="BV752" s="66"/>
      <c r="BW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  <c r="BD753" s="66"/>
      <c r="BE753" s="66"/>
      <c r="BF753" s="66"/>
      <c r="BG753" s="66"/>
      <c r="BH753" s="66"/>
      <c r="BI753" s="66"/>
      <c r="BJ753" s="66"/>
      <c r="BK753" s="66"/>
      <c r="BL753" s="66"/>
      <c r="BM753" s="66"/>
      <c r="BN753" s="66"/>
      <c r="BO753" s="66"/>
      <c r="BP753" s="66"/>
      <c r="BQ753" s="66"/>
      <c r="BR753" s="66"/>
      <c r="BS753" s="66"/>
      <c r="BT753" s="66"/>
      <c r="BU753" s="66"/>
      <c r="BV753" s="66"/>
      <c r="BW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  <c r="BF754" s="66"/>
      <c r="BG754" s="66"/>
      <c r="BH754" s="66"/>
      <c r="BI754" s="66"/>
      <c r="BJ754" s="66"/>
      <c r="BK754" s="66"/>
      <c r="BL754" s="66"/>
      <c r="BM754" s="66"/>
      <c r="BN754" s="66"/>
      <c r="BO754" s="66"/>
      <c r="BP754" s="66"/>
      <c r="BQ754" s="66"/>
      <c r="BR754" s="66"/>
      <c r="BS754" s="66"/>
      <c r="BT754" s="66"/>
      <c r="BU754" s="66"/>
      <c r="BV754" s="66"/>
      <c r="BW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6"/>
      <c r="BF755" s="66"/>
      <c r="BG755" s="66"/>
      <c r="BH755" s="66"/>
      <c r="BI755" s="66"/>
      <c r="BJ755" s="66"/>
      <c r="BK755" s="66"/>
      <c r="BL755" s="66"/>
      <c r="BM755" s="66"/>
      <c r="BN755" s="66"/>
      <c r="BO755" s="66"/>
      <c r="BP755" s="66"/>
      <c r="BQ755" s="66"/>
      <c r="BR755" s="66"/>
      <c r="BS755" s="66"/>
      <c r="BT755" s="66"/>
      <c r="BU755" s="66"/>
      <c r="BV755" s="66"/>
      <c r="BW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/>
      <c r="BJ756" s="66"/>
      <c r="BK756" s="66"/>
      <c r="BL756" s="66"/>
      <c r="BM756" s="66"/>
      <c r="BN756" s="66"/>
      <c r="BO756" s="66"/>
      <c r="BP756" s="66"/>
      <c r="BQ756" s="66"/>
      <c r="BR756" s="66"/>
      <c r="BS756" s="66"/>
      <c r="BT756" s="66"/>
      <c r="BU756" s="66"/>
      <c r="BV756" s="66"/>
      <c r="BW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  <c r="BD757" s="66"/>
      <c r="BE757" s="66"/>
      <c r="BF757" s="66"/>
      <c r="BG757" s="66"/>
      <c r="BH757" s="66"/>
      <c r="BI757" s="66"/>
      <c r="BJ757" s="66"/>
      <c r="BK757" s="66"/>
      <c r="BL757" s="66"/>
      <c r="BM757" s="66"/>
      <c r="BN757" s="66"/>
      <c r="BO757" s="66"/>
      <c r="BP757" s="66"/>
      <c r="BQ757" s="66"/>
      <c r="BR757" s="66"/>
      <c r="BS757" s="66"/>
      <c r="BT757" s="66"/>
      <c r="BU757" s="66"/>
      <c r="BV757" s="66"/>
      <c r="BW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  <c r="BD758" s="66"/>
      <c r="BE758" s="66"/>
      <c r="BF758" s="66"/>
      <c r="BG758" s="66"/>
      <c r="BH758" s="66"/>
      <c r="BI758" s="66"/>
      <c r="BJ758" s="66"/>
      <c r="BK758" s="66"/>
      <c r="BL758" s="66"/>
      <c r="BM758" s="66"/>
      <c r="BN758" s="66"/>
      <c r="BO758" s="66"/>
      <c r="BP758" s="66"/>
      <c r="BQ758" s="66"/>
      <c r="BR758" s="66"/>
      <c r="BS758" s="66"/>
      <c r="BT758" s="66"/>
      <c r="BU758" s="66"/>
      <c r="BV758" s="66"/>
      <c r="BW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  <c r="BD759" s="66"/>
      <c r="BE759" s="66"/>
      <c r="BF759" s="66"/>
      <c r="BG759" s="66"/>
      <c r="BH759" s="66"/>
      <c r="BI759" s="66"/>
      <c r="BJ759" s="66"/>
      <c r="BK759" s="66"/>
      <c r="BL759" s="66"/>
      <c r="BM759" s="66"/>
      <c r="BN759" s="66"/>
      <c r="BO759" s="66"/>
      <c r="BP759" s="66"/>
      <c r="BQ759" s="66"/>
      <c r="BR759" s="66"/>
      <c r="BS759" s="66"/>
      <c r="BT759" s="66"/>
      <c r="BU759" s="66"/>
      <c r="BV759" s="66"/>
      <c r="BW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66"/>
      <c r="AU760" s="66"/>
      <c r="AV760" s="66"/>
      <c r="AW760" s="66"/>
      <c r="AX760" s="66"/>
      <c r="AY760" s="66"/>
      <c r="AZ760" s="66"/>
      <c r="BA760" s="66"/>
      <c r="BB760" s="66"/>
      <c r="BC760" s="66"/>
      <c r="BD760" s="66"/>
      <c r="BE760" s="66"/>
      <c r="BF760" s="66"/>
      <c r="BG760" s="66"/>
      <c r="BH760" s="66"/>
      <c r="BI760" s="66"/>
      <c r="BJ760" s="66"/>
      <c r="BK760" s="66"/>
      <c r="BL760" s="66"/>
      <c r="BM760" s="66"/>
      <c r="BN760" s="66"/>
      <c r="BO760" s="66"/>
      <c r="BP760" s="66"/>
      <c r="BQ760" s="66"/>
      <c r="BR760" s="66"/>
      <c r="BS760" s="66"/>
      <c r="BT760" s="66"/>
      <c r="BU760" s="66"/>
      <c r="BV760" s="66"/>
      <c r="BW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66"/>
      <c r="AU761" s="66"/>
      <c r="AV761" s="66"/>
      <c r="AW761" s="66"/>
      <c r="AX761" s="66"/>
      <c r="AY761" s="66"/>
      <c r="AZ761" s="66"/>
      <c r="BA761" s="66"/>
      <c r="BB761" s="66"/>
      <c r="BC761" s="66"/>
      <c r="BD761" s="66"/>
      <c r="BE761" s="66"/>
      <c r="BF761" s="66"/>
      <c r="BG761" s="66"/>
      <c r="BH761" s="66"/>
      <c r="BI761" s="66"/>
      <c r="BJ761" s="66"/>
      <c r="BK761" s="66"/>
      <c r="BL761" s="66"/>
      <c r="BM761" s="66"/>
      <c r="BN761" s="66"/>
      <c r="BO761" s="66"/>
      <c r="BP761" s="66"/>
      <c r="BQ761" s="66"/>
      <c r="BR761" s="66"/>
      <c r="BS761" s="66"/>
      <c r="BT761" s="66"/>
      <c r="BU761" s="66"/>
      <c r="BV761" s="66"/>
      <c r="BW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66"/>
      <c r="AU762" s="66"/>
      <c r="AV762" s="66"/>
      <c r="AW762" s="66"/>
      <c r="AX762" s="66"/>
      <c r="AY762" s="66"/>
      <c r="AZ762" s="66"/>
      <c r="BA762" s="66"/>
      <c r="BB762" s="66"/>
      <c r="BC762" s="66"/>
      <c r="BD762" s="66"/>
      <c r="BE762" s="66"/>
      <c r="BF762" s="66"/>
      <c r="BG762" s="66"/>
      <c r="BH762" s="66"/>
      <c r="BI762" s="66"/>
      <c r="BJ762" s="66"/>
      <c r="BK762" s="66"/>
      <c r="BL762" s="66"/>
      <c r="BM762" s="66"/>
      <c r="BN762" s="66"/>
      <c r="BO762" s="66"/>
      <c r="BP762" s="66"/>
      <c r="BQ762" s="66"/>
      <c r="BR762" s="66"/>
      <c r="BS762" s="66"/>
      <c r="BT762" s="66"/>
      <c r="BU762" s="66"/>
      <c r="BV762" s="66"/>
      <c r="BW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66"/>
      <c r="AU763" s="66"/>
      <c r="AV763" s="66"/>
      <c r="AW763" s="66"/>
      <c r="AX763" s="66"/>
      <c r="AY763" s="66"/>
      <c r="AZ763" s="66"/>
      <c r="BA763" s="66"/>
      <c r="BB763" s="66"/>
      <c r="BC763" s="66"/>
      <c r="BD763" s="66"/>
      <c r="BE763" s="66"/>
      <c r="BF763" s="66"/>
      <c r="BG763" s="66"/>
      <c r="BH763" s="66"/>
      <c r="BI763" s="66"/>
      <c r="BJ763" s="66"/>
      <c r="BK763" s="66"/>
      <c r="BL763" s="66"/>
      <c r="BM763" s="66"/>
      <c r="BN763" s="66"/>
      <c r="BO763" s="66"/>
      <c r="BP763" s="66"/>
      <c r="BQ763" s="66"/>
      <c r="BR763" s="66"/>
      <c r="BS763" s="66"/>
      <c r="BT763" s="66"/>
      <c r="BU763" s="66"/>
      <c r="BV763" s="66"/>
      <c r="BW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66"/>
      <c r="AU764" s="66"/>
      <c r="AV764" s="66"/>
      <c r="AW764" s="66"/>
      <c r="AX764" s="66"/>
      <c r="AY764" s="66"/>
      <c r="AZ764" s="66"/>
      <c r="BA764" s="66"/>
      <c r="BB764" s="66"/>
      <c r="BC764" s="66"/>
      <c r="BD764" s="66"/>
      <c r="BE764" s="66"/>
      <c r="BF764" s="66"/>
      <c r="BG764" s="66"/>
      <c r="BH764" s="66"/>
      <c r="BI764" s="66"/>
      <c r="BJ764" s="66"/>
      <c r="BK764" s="66"/>
      <c r="BL764" s="66"/>
      <c r="BM764" s="66"/>
      <c r="BN764" s="66"/>
      <c r="BO764" s="66"/>
      <c r="BP764" s="66"/>
      <c r="BQ764" s="66"/>
      <c r="BR764" s="66"/>
      <c r="BS764" s="66"/>
      <c r="BT764" s="66"/>
      <c r="BU764" s="66"/>
      <c r="BV764" s="66"/>
      <c r="BW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/>
      <c r="BJ765" s="66"/>
      <c r="BK765" s="66"/>
      <c r="BL765" s="66"/>
      <c r="BM765" s="66"/>
      <c r="BN765" s="66"/>
      <c r="BO765" s="66"/>
      <c r="BP765" s="66"/>
      <c r="BQ765" s="66"/>
      <c r="BR765" s="66"/>
      <c r="BS765" s="66"/>
      <c r="BT765" s="66"/>
      <c r="BU765" s="66"/>
      <c r="BV765" s="66"/>
      <c r="BW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66"/>
      <c r="AU766" s="66"/>
      <c r="AV766" s="66"/>
      <c r="AW766" s="66"/>
      <c r="AX766" s="66"/>
      <c r="AY766" s="66"/>
      <c r="AZ766" s="66"/>
      <c r="BA766" s="66"/>
      <c r="BB766" s="66"/>
      <c r="BC766" s="66"/>
      <c r="BD766" s="66"/>
      <c r="BE766" s="66"/>
      <c r="BF766" s="66"/>
      <c r="BG766" s="66"/>
      <c r="BH766" s="66"/>
      <c r="BI766" s="66"/>
      <c r="BJ766" s="66"/>
      <c r="BK766" s="66"/>
      <c r="BL766" s="66"/>
      <c r="BM766" s="66"/>
      <c r="BN766" s="66"/>
      <c r="BO766" s="66"/>
      <c r="BP766" s="66"/>
      <c r="BQ766" s="66"/>
      <c r="BR766" s="66"/>
      <c r="BS766" s="66"/>
      <c r="BT766" s="66"/>
      <c r="BU766" s="66"/>
      <c r="BV766" s="66"/>
      <c r="BW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66"/>
      <c r="AU767" s="66"/>
      <c r="AV767" s="66"/>
      <c r="AW767" s="66"/>
      <c r="AX767" s="66"/>
      <c r="AY767" s="66"/>
      <c r="AZ767" s="66"/>
      <c r="BA767" s="66"/>
      <c r="BB767" s="66"/>
      <c r="BC767" s="66"/>
      <c r="BD767" s="66"/>
      <c r="BE767" s="66"/>
      <c r="BF767" s="66"/>
      <c r="BG767" s="66"/>
      <c r="BH767" s="66"/>
      <c r="BI767" s="66"/>
      <c r="BJ767" s="66"/>
      <c r="BK767" s="66"/>
      <c r="BL767" s="66"/>
      <c r="BM767" s="66"/>
      <c r="BN767" s="66"/>
      <c r="BO767" s="66"/>
      <c r="BP767" s="66"/>
      <c r="BQ767" s="66"/>
      <c r="BR767" s="66"/>
      <c r="BS767" s="66"/>
      <c r="BT767" s="66"/>
      <c r="BU767" s="66"/>
      <c r="BV767" s="66"/>
      <c r="BW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6"/>
      <c r="BB768" s="66"/>
      <c r="BC768" s="66"/>
      <c r="BD768" s="66"/>
      <c r="BE768" s="66"/>
      <c r="BF768" s="66"/>
      <c r="BG768" s="66"/>
      <c r="BH768" s="66"/>
      <c r="BI768" s="66"/>
      <c r="BJ768" s="66"/>
      <c r="BK768" s="66"/>
      <c r="BL768" s="66"/>
      <c r="BM768" s="66"/>
      <c r="BN768" s="66"/>
      <c r="BO768" s="66"/>
      <c r="BP768" s="66"/>
      <c r="BQ768" s="66"/>
      <c r="BR768" s="66"/>
      <c r="BS768" s="66"/>
      <c r="BT768" s="66"/>
      <c r="BU768" s="66"/>
      <c r="BV768" s="66"/>
      <c r="BW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66"/>
      <c r="AU769" s="66"/>
      <c r="AV769" s="66"/>
      <c r="AW769" s="66"/>
      <c r="AX769" s="66"/>
      <c r="AY769" s="66"/>
      <c r="AZ769" s="66"/>
      <c r="BA769" s="66"/>
      <c r="BB769" s="66"/>
      <c r="BC769" s="66"/>
      <c r="BD769" s="66"/>
      <c r="BE769" s="66"/>
      <c r="BF769" s="66"/>
      <c r="BG769" s="66"/>
      <c r="BH769" s="66"/>
      <c r="BI769" s="66"/>
      <c r="BJ769" s="66"/>
      <c r="BK769" s="66"/>
      <c r="BL769" s="66"/>
      <c r="BM769" s="66"/>
      <c r="BN769" s="66"/>
      <c r="BO769" s="66"/>
      <c r="BP769" s="66"/>
      <c r="BQ769" s="66"/>
      <c r="BR769" s="66"/>
      <c r="BS769" s="66"/>
      <c r="BT769" s="66"/>
      <c r="BU769" s="66"/>
      <c r="BV769" s="66"/>
      <c r="BW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66"/>
      <c r="AZ770" s="66"/>
      <c r="BA770" s="66"/>
      <c r="BB770" s="66"/>
      <c r="BC770" s="66"/>
      <c r="BD770" s="66"/>
      <c r="BE770" s="66"/>
      <c r="BF770" s="66"/>
      <c r="BG770" s="66"/>
      <c r="BH770" s="66"/>
      <c r="BI770" s="66"/>
      <c r="BJ770" s="66"/>
      <c r="BK770" s="66"/>
      <c r="BL770" s="66"/>
      <c r="BM770" s="66"/>
      <c r="BN770" s="66"/>
      <c r="BO770" s="66"/>
      <c r="BP770" s="66"/>
      <c r="BQ770" s="66"/>
      <c r="BR770" s="66"/>
      <c r="BS770" s="66"/>
      <c r="BT770" s="66"/>
      <c r="BU770" s="66"/>
      <c r="BV770" s="66"/>
      <c r="BW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66"/>
      <c r="AU771" s="66"/>
      <c r="AV771" s="66"/>
      <c r="AW771" s="66"/>
      <c r="AX771" s="66"/>
      <c r="AY771" s="66"/>
      <c r="AZ771" s="66"/>
      <c r="BA771" s="66"/>
      <c r="BB771" s="66"/>
      <c r="BC771" s="66"/>
      <c r="BD771" s="66"/>
      <c r="BE771" s="66"/>
      <c r="BF771" s="66"/>
      <c r="BG771" s="66"/>
      <c r="BH771" s="66"/>
      <c r="BI771" s="66"/>
      <c r="BJ771" s="66"/>
      <c r="BK771" s="66"/>
      <c r="BL771" s="66"/>
      <c r="BM771" s="66"/>
      <c r="BN771" s="66"/>
      <c r="BO771" s="66"/>
      <c r="BP771" s="66"/>
      <c r="BQ771" s="66"/>
      <c r="BR771" s="66"/>
      <c r="BS771" s="66"/>
      <c r="BT771" s="66"/>
      <c r="BU771" s="66"/>
      <c r="BV771" s="66"/>
      <c r="BW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66"/>
      <c r="AU772" s="66"/>
      <c r="AV772" s="66"/>
      <c r="AW772" s="66"/>
      <c r="AX772" s="66"/>
      <c r="AY772" s="66"/>
      <c r="AZ772" s="66"/>
      <c r="BA772" s="66"/>
      <c r="BB772" s="66"/>
      <c r="BC772" s="66"/>
      <c r="BD772" s="66"/>
      <c r="BE772" s="66"/>
      <c r="BF772" s="66"/>
      <c r="BG772" s="66"/>
      <c r="BH772" s="66"/>
      <c r="BI772" s="66"/>
      <c r="BJ772" s="66"/>
      <c r="BK772" s="66"/>
      <c r="BL772" s="66"/>
      <c r="BM772" s="66"/>
      <c r="BN772" s="66"/>
      <c r="BO772" s="66"/>
      <c r="BP772" s="66"/>
      <c r="BQ772" s="66"/>
      <c r="BR772" s="66"/>
      <c r="BS772" s="66"/>
      <c r="BT772" s="66"/>
      <c r="BU772" s="66"/>
      <c r="BV772" s="66"/>
      <c r="BW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  <c r="BD773" s="66"/>
      <c r="BE773" s="66"/>
      <c r="BF773" s="66"/>
      <c r="BG773" s="66"/>
      <c r="BH773" s="66"/>
      <c r="BI773" s="66"/>
      <c r="BJ773" s="66"/>
      <c r="BK773" s="66"/>
      <c r="BL773" s="66"/>
      <c r="BM773" s="66"/>
      <c r="BN773" s="66"/>
      <c r="BO773" s="66"/>
      <c r="BP773" s="66"/>
      <c r="BQ773" s="66"/>
      <c r="BR773" s="66"/>
      <c r="BS773" s="66"/>
      <c r="BT773" s="66"/>
      <c r="BU773" s="66"/>
      <c r="BV773" s="66"/>
      <c r="BW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66"/>
      <c r="AZ774" s="66"/>
      <c r="BA774" s="66"/>
      <c r="BB774" s="66"/>
      <c r="BC774" s="66"/>
      <c r="BD774" s="66"/>
      <c r="BE774" s="66"/>
      <c r="BF774" s="66"/>
      <c r="BG774" s="66"/>
      <c r="BH774" s="66"/>
      <c r="BI774" s="66"/>
      <c r="BJ774" s="66"/>
      <c r="BK774" s="66"/>
      <c r="BL774" s="66"/>
      <c r="BM774" s="66"/>
      <c r="BN774" s="66"/>
      <c r="BO774" s="66"/>
      <c r="BP774" s="66"/>
      <c r="BQ774" s="66"/>
      <c r="BR774" s="66"/>
      <c r="BS774" s="66"/>
      <c r="BT774" s="66"/>
      <c r="BU774" s="66"/>
      <c r="BV774" s="66"/>
      <c r="BW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66"/>
      <c r="AZ775" s="66"/>
      <c r="BA775" s="66"/>
      <c r="BB775" s="66"/>
      <c r="BC775" s="66"/>
      <c r="BD775" s="66"/>
      <c r="BE775" s="66"/>
      <c r="BF775" s="66"/>
      <c r="BG775" s="66"/>
      <c r="BH775" s="66"/>
      <c r="BI775" s="66"/>
      <c r="BJ775" s="66"/>
      <c r="BK775" s="66"/>
      <c r="BL775" s="66"/>
      <c r="BM775" s="66"/>
      <c r="BN775" s="66"/>
      <c r="BO775" s="66"/>
      <c r="BP775" s="66"/>
      <c r="BQ775" s="66"/>
      <c r="BR775" s="66"/>
      <c r="BS775" s="66"/>
      <c r="BT775" s="66"/>
      <c r="BU775" s="66"/>
      <c r="BV775" s="66"/>
      <c r="BW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  <c r="AS776" s="66"/>
      <c r="AT776" s="66"/>
      <c r="AU776" s="66"/>
      <c r="AV776" s="66"/>
      <c r="AW776" s="66"/>
      <c r="AX776" s="66"/>
      <c r="AY776" s="66"/>
      <c r="AZ776" s="66"/>
      <c r="BA776" s="66"/>
      <c r="BB776" s="66"/>
      <c r="BC776" s="66"/>
      <c r="BD776" s="66"/>
      <c r="BE776" s="66"/>
      <c r="BF776" s="66"/>
      <c r="BG776" s="66"/>
      <c r="BH776" s="66"/>
      <c r="BI776" s="66"/>
      <c r="BJ776" s="66"/>
      <c r="BK776" s="66"/>
      <c r="BL776" s="66"/>
      <c r="BM776" s="66"/>
      <c r="BN776" s="66"/>
      <c r="BO776" s="66"/>
      <c r="BP776" s="66"/>
      <c r="BQ776" s="66"/>
      <c r="BR776" s="66"/>
      <c r="BS776" s="66"/>
      <c r="BT776" s="66"/>
      <c r="BU776" s="66"/>
      <c r="BV776" s="66"/>
      <c r="BW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6"/>
      <c r="BB777" s="66"/>
      <c r="BC777" s="66"/>
      <c r="BD777" s="66"/>
      <c r="BE777" s="66"/>
      <c r="BF777" s="66"/>
      <c r="BG777" s="66"/>
      <c r="BH777" s="66"/>
      <c r="BI777" s="66"/>
      <c r="BJ777" s="66"/>
      <c r="BK777" s="66"/>
      <c r="BL777" s="66"/>
      <c r="BM777" s="66"/>
      <c r="BN777" s="66"/>
      <c r="BO777" s="66"/>
      <c r="BP777" s="66"/>
      <c r="BQ777" s="66"/>
      <c r="BR777" s="66"/>
      <c r="BS777" s="66"/>
      <c r="BT777" s="66"/>
      <c r="BU777" s="66"/>
      <c r="BV777" s="66"/>
      <c r="BW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66"/>
      <c r="AU778" s="66"/>
      <c r="AV778" s="66"/>
      <c r="AW778" s="66"/>
      <c r="AX778" s="66"/>
      <c r="AY778" s="66"/>
      <c r="AZ778" s="66"/>
      <c r="BA778" s="66"/>
      <c r="BB778" s="66"/>
      <c r="BC778" s="66"/>
      <c r="BD778" s="66"/>
      <c r="BE778" s="66"/>
      <c r="BF778" s="66"/>
      <c r="BG778" s="66"/>
      <c r="BH778" s="66"/>
      <c r="BI778" s="66"/>
      <c r="BJ778" s="66"/>
      <c r="BK778" s="66"/>
      <c r="BL778" s="66"/>
      <c r="BM778" s="66"/>
      <c r="BN778" s="66"/>
      <c r="BO778" s="66"/>
      <c r="BP778" s="66"/>
      <c r="BQ778" s="66"/>
      <c r="BR778" s="66"/>
      <c r="BS778" s="66"/>
      <c r="BT778" s="66"/>
      <c r="BU778" s="66"/>
      <c r="BV778" s="66"/>
      <c r="BW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  <c r="BD779" s="66"/>
      <c r="BE779" s="66"/>
      <c r="BF779" s="66"/>
      <c r="BG779" s="66"/>
      <c r="BH779" s="66"/>
      <c r="BI779" s="66"/>
      <c r="BJ779" s="66"/>
      <c r="BK779" s="66"/>
      <c r="BL779" s="66"/>
      <c r="BM779" s="66"/>
      <c r="BN779" s="66"/>
      <c r="BO779" s="66"/>
      <c r="BP779" s="66"/>
      <c r="BQ779" s="66"/>
      <c r="BR779" s="66"/>
      <c r="BS779" s="66"/>
      <c r="BT779" s="66"/>
      <c r="BU779" s="66"/>
      <c r="BV779" s="66"/>
      <c r="BW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/>
      <c r="BJ780" s="66"/>
      <c r="BK780" s="66"/>
      <c r="BL780" s="66"/>
      <c r="BM780" s="66"/>
      <c r="BN780" s="66"/>
      <c r="BO780" s="66"/>
      <c r="BP780" s="66"/>
      <c r="BQ780" s="66"/>
      <c r="BR780" s="66"/>
      <c r="BS780" s="66"/>
      <c r="BT780" s="66"/>
      <c r="BU780" s="66"/>
      <c r="BV780" s="66"/>
      <c r="BW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/>
      <c r="BJ781" s="66"/>
      <c r="BK781" s="66"/>
      <c r="BL781" s="66"/>
      <c r="BM781" s="66"/>
      <c r="BN781" s="66"/>
      <c r="BO781" s="66"/>
      <c r="BP781" s="66"/>
      <c r="BQ781" s="66"/>
      <c r="BR781" s="66"/>
      <c r="BS781" s="66"/>
      <c r="BT781" s="66"/>
      <c r="BU781" s="66"/>
      <c r="BV781" s="66"/>
      <c r="BW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  <c r="BD782" s="66"/>
      <c r="BE782" s="66"/>
      <c r="BF782" s="66"/>
      <c r="BG782" s="66"/>
      <c r="BH782" s="66"/>
      <c r="BI782" s="66"/>
      <c r="BJ782" s="66"/>
      <c r="BK782" s="66"/>
      <c r="BL782" s="66"/>
      <c r="BM782" s="66"/>
      <c r="BN782" s="66"/>
      <c r="BO782" s="66"/>
      <c r="BP782" s="66"/>
      <c r="BQ782" s="66"/>
      <c r="BR782" s="66"/>
      <c r="BS782" s="66"/>
      <c r="BT782" s="66"/>
      <c r="BU782" s="66"/>
      <c r="BV782" s="66"/>
      <c r="BW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  <c r="BD783" s="66"/>
      <c r="BE783" s="66"/>
      <c r="BF783" s="66"/>
      <c r="BG783" s="66"/>
      <c r="BH783" s="66"/>
      <c r="BI783" s="66"/>
      <c r="BJ783" s="66"/>
      <c r="BK783" s="66"/>
      <c r="BL783" s="66"/>
      <c r="BM783" s="66"/>
      <c r="BN783" s="66"/>
      <c r="BO783" s="66"/>
      <c r="BP783" s="66"/>
      <c r="BQ783" s="66"/>
      <c r="BR783" s="66"/>
      <c r="BS783" s="66"/>
      <c r="BT783" s="66"/>
      <c r="BU783" s="66"/>
      <c r="BV783" s="66"/>
      <c r="BW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/>
      <c r="BJ784" s="66"/>
      <c r="BK784" s="66"/>
      <c r="BL784" s="66"/>
      <c r="BM784" s="66"/>
      <c r="BN784" s="66"/>
      <c r="BO784" s="66"/>
      <c r="BP784" s="66"/>
      <c r="BQ784" s="66"/>
      <c r="BR784" s="66"/>
      <c r="BS784" s="66"/>
      <c r="BT784" s="66"/>
      <c r="BU784" s="66"/>
      <c r="BV784" s="66"/>
      <c r="BW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  <c r="BD785" s="66"/>
      <c r="BE785" s="66"/>
      <c r="BF785" s="66"/>
      <c r="BG785" s="66"/>
      <c r="BH785" s="66"/>
      <c r="BI785" s="66"/>
      <c r="BJ785" s="66"/>
      <c r="BK785" s="66"/>
      <c r="BL785" s="66"/>
      <c r="BM785" s="66"/>
      <c r="BN785" s="66"/>
      <c r="BO785" s="66"/>
      <c r="BP785" s="66"/>
      <c r="BQ785" s="66"/>
      <c r="BR785" s="66"/>
      <c r="BS785" s="66"/>
      <c r="BT785" s="66"/>
      <c r="BU785" s="66"/>
      <c r="BV785" s="66"/>
      <c r="BW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/>
      <c r="BJ786" s="66"/>
      <c r="BK786" s="66"/>
      <c r="BL786" s="66"/>
      <c r="BM786" s="66"/>
      <c r="BN786" s="66"/>
      <c r="BO786" s="66"/>
      <c r="BP786" s="66"/>
      <c r="BQ786" s="66"/>
      <c r="BR786" s="66"/>
      <c r="BS786" s="66"/>
      <c r="BT786" s="66"/>
      <c r="BU786" s="66"/>
      <c r="BV786" s="66"/>
      <c r="BW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  <c r="BD787" s="66"/>
      <c r="BE787" s="66"/>
      <c r="BF787" s="66"/>
      <c r="BG787" s="66"/>
      <c r="BH787" s="66"/>
      <c r="BI787" s="66"/>
      <c r="BJ787" s="66"/>
      <c r="BK787" s="66"/>
      <c r="BL787" s="66"/>
      <c r="BM787" s="66"/>
      <c r="BN787" s="66"/>
      <c r="BO787" s="66"/>
      <c r="BP787" s="66"/>
      <c r="BQ787" s="66"/>
      <c r="BR787" s="66"/>
      <c r="BS787" s="66"/>
      <c r="BT787" s="66"/>
      <c r="BU787" s="66"/>
      <c r="BV787" s="66"/>
      <c r="BW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/>
      <c r="BJ788" s="66"/>
      <c r="BK788" s="66"/>
      <c r="BL788" s="66"/>
      <c r="BM788" s="66"/>
      <c r="BN788" s="66"/>
      <c r="BO788" s="66"/>
      <c r="BP788" s="66"/>
      <c r="BQ788" s="66"/>
      <c r="BR788" s="66"/>
      <c r="BS788" s="66"/>
      <c r="BT788" s="66"/>
      <c r="BU788" s="66"/>
      <c r="BV788" s="66"/>
      <c r="BW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  <c r="BD789" s="66"/>
      <c r="BE789" s="66"/>
      <c r="BF789" s="66"/>
      <c r="BG789" s="66"/>
      <c r="BH789" s="66"/>
      <c r="BI789" s="66"/>
      <c r="BJ789" s="66"/>
      <c r="BK789" s="66"/>
      <c r="BL789" s="66"/>
      <c r="BM789" s="66"/>
      <c r="BN789" s="66"/>
      <c r="BO789" s="66"/>
      <c r="BP789" s="66"/>
      <c r="BQ789" s="66"/>
      <c r="BR789" s="66"/>
      <c r="BS789" s="66"/>
      <c r="BT789" s="66"/>
      <c r="BU789" s="66"/>
      <c r="BV789" s="66"/>
      <c r="BW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/>
      <c r="BJ790" s="66"/>
      <c r="BK790" s="66"/>
      <c r="BL790" s="66"/>
      <c r="BM790" s="66"/>
      <c r="BN790" s="66"/>
      <c r="BO790" s="66"/>
      <c r="BP790" s="66"/>
      <c r="BQ790" s="66"/>
      <c r="BR790" s="66"/>
      <c r="BS790" s="66"/>
      <c r="BT790" s="66"/>
      <c r="BU790" s="66"/>
      <c r="BV790" s="66"/>
      <c r="BW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  <c r="BD791" s="66"/>
      <c r="BE791" s="66"/>
      <c r="BF791" s="66"/>
      <c r="BG791" s="66"/>
      <c r="BH791" s="66"/>
      <c r="BI791" s="66"/>
      <c r="BJ791" s="66"/>
      <c r="BK791" s="66"/>
      <c r="BL791" s="66"/>
      <c r="BM791" s="66"/>
      <c r="BN791" s="66"/>
      <c r="BO791" s="66"/>
      <c r="BP791" s="66"/>
      <c r="BQ791" s="66"/>
      <c r="BR791" s="66"/>
      <c r="BS791" s="66"/>
      <c r="BT791" s="66"/>
      <c r="BU791" s="66"/>
      <c r="BV791" s="66"/>
      <c r="BW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/>
      <c r="BJ792" s="66"/>
      <c r="BK792" s="66"/>
      <c r="BL792" s="66"/>
      <c r="BM792" s="66"/>
      <c r="BN792" s="66"/>
      <c r="BO792" s="66"/>
      <c r="BP792" s="66"/>
      <c r="BQ792" s="66"/>
      <c r="BR792" s="66"/>
      <c r="BS792" s="66"/>
      <c r="BT792" s="66"/>
      <c r="BU792" s="66"/>
      <c r="BV792" s="66"/>
      <c r="BW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  <c r="BD793" s="66"/>
      <c r="BE793" s="66"/>
      <c r="BF793" s="66"/>
      <c r="BG793" s="66"/>
      <c r="BH793" s="66"/>
      <c r="BI793" s="66"/>
      <c r="BJ793" s="66"/>
      <c r="BK793" s="66"/>
      <c r="BL793" s="66"/>
      <c r="BM793" s="66"/>
      <c r="BN793" s="66"/>
      <c r="BO793" s="66"/>
      <c r="BP793" s="66"/>
      <c r="BQ793" s="66"/>
      <c r="BR793" s="66"/>
      <c r="BS793" s="66"/>
      <c r="BT793" s="66"/>
      <c r="BU793" s="66"/>
      <c r="BV793" s="66"/>
      <c r="BW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/>
      <c r="BJ794" s="66"/>
      <c r="BK794" s="66"/>
      <c r="BL794" s="66"/>
      <c r="BM794" s="66"/>
      <c r="BN794" s="66"/>
      <c r="BO794" s="66"/>
      <c r="BP794" s="66"/>
      <c r="BQ794" s="66"/>
      <c r="BR794" s="66"/>
      <c r="BS794" s="66"/>
      <c r="BT794" s="66"/>
      <c r="BU794" s="66"/>
      <c r="BV794" s="66"/>
      <c r="BW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6"/>
      <c r="BB795" s="66"/>
      <c r="BC795" s="66"/>
      <c r="BD795" s="66"/>
      <c r="BE795" s="66"/>
      <c r="BF795" s="66"/>
      <c r="BG795" s="66"/>
      <c r="BH795" s="66"/>
      <c r="BI795" s="66"/>
      <c r="BJ795" s="66"/>
      <c r="BK795" s="66"/>
      <c r="BL795" s="66"/>
      <c r="BM795" s="66"/>
      <c r="BN795" s="66"/>
      <c r="BO795" s="66"/>
      <c r="BP795" s="66"/>
      <c r="BQ795" s="66"/>
      <c r="BR795" s="66"/>
      <c r="BS795" s="66"/>
      <c r="BT795" s="66"/>
      <c r="BU795" s="66"/>
      <c r="BV795" s="66"/>
      <c r="BW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66"/>
      <c r="AU796" s="66"/>
      <c r="AV796" s="66"/>
      <c r="AW796" s="66"/>
      <c r="AX796" s="66"/>
      <c r="AY796" s="66"/>
      <c r="AZ796" s="66"/>
      <c r="BA796" s="66"/>
      <c r="BB796" s="66"/>
      <c r="BC796" s="66"/>
      <c r="BD796" s="66"/>
      <c r="BE796" s="66"/>
      <c r="BF796" s="66"/>
      <c r="BG796" s="66"/>
      <c r="BH796" s="66"/>
      <c r="BI796" s="66"/>
      <c r="BJ796" s="66"/>
      <c r="BK796" s="66"/>
      <c r="BL796" s="66"/>
      <c r="BM796" s="66"/>
      <c r="BN796" s="66"/>
      <c r="BO796" s="66"/>
      <c r="BP796" s="66"/>
      <c r="BQ796" s="66"/>
      <c r="BR796" s="66"/>
      <c r="BS796" s="66"/>
      <c r="BT796" s="66"/>
      <c r="BU796" s="66"/>
      <c r="BV796" s="66"/>
      <c r="BW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66"/>
      <c r="AU797" s="66"/>
      <c r="AV797" s="66"/>
      <c r="AW797" s="66"/>
      <c r="AX797" s="66"/>
      <c r="AY797" s="66"/>
      <c r="AZ797" s="66"/>
      <c r="BA797" s="66"/>
      <c r="BB797" s="66"/>
      <c r="BC797" s="66"/>
      <c r="BD797" s="66"/>
      <c r="BE797" s="66"/>
      <c r="BF797" s="66"/>
      <c r="BG797" s="66"/>
      <c r="BH797" s="66"/>
      <c r="BI797" s="66"/>
      <c r="BJ797" s="66"/>
      <c r="BK797" s="66"/>
      <c r="BL797" s="66"/>
      <c r="BM797" s="66"/>
      <c r="BN797" s="66"/>
      <c r="BO797" s="66"/>
      <c r="BP797" s="66"/>
      <c r="BQ797" s="66"/>
      <c r="BR797" s="66"/>
      <c r="BS797" s="66"/>
      <c r="BT797" s="66"/>
      <c r="BU797" s="66"/>
      <c r="BV797" s="66"/>
      <c r="BW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66"/>
      <c r="AZ798" s="66"/>
      <c r="BA798" s="66"/>
      <c r="BB798" s="66"/>
      <c r="BC798" s="66"/>
      <c r="BD798" s="66"/>
      <c r="BE798" s="66"/>
      <c r="BF798" s="66"/>
      <c r="BG798" s="66"/>
      <c r="BH798" s="66"/>
      <c r="BI798" s="66"/>
      <c r="BJ798" s="66"/>
      <c r="BK798" s="66"/>
      <c r="BL798" s="66"/>
      <c r="BM798" s="66"/>
      <c r="BN798" s="66"/>
      <c r="BO798" s="66"/>
      <c r="BP798" s="66"/>
      <c r="BQ798" s="66"/>
      <c r="BR798" s="66"/>
      <c r="BS798" s="66"/>
      <c r="BT798" s="66"/>
      <c r="BU798" s="66"/>
      <c r="BV798" s="66"/>
      <c r="BW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66"/>
      <c r="AU799" s="66"/>
      <c r="AV799" s="66"/>
      <c r="AW799" s="66"/>
      <c r="AX799" s="66"/>
      <c r="AY799" s="66"/>
      <c r="AZ799" s="66"/>
      <c r="BA799" s="66"/>
      <c r="BB799" s="66"/>
      <c r="BC799" s="66"/>
      <c r="BD799" s="66"/>
      <c r="BE799" s="66"/>
      <c r="BF799" s="66"/>
      <c r="BG799" s="66"/>
      <c r="BH799" s="66"/>
      <c r="BI799" s="66"/>
      <c r="BJ799" s="66"/>
      <c r="BK799" s="66"/>
      <c r="BL799" s="66"/>
      <c r="BM799" s="66"/>
      <c r="BN799" s="66"/>
      <c r="BO799" s="66"/>
      <c r="BP799" s="66"/>
      <c r="BQ799" s="66"/>
      <c r="BR799" s="66"/>
      <c r="BS799" s="66"/>
      <c r="BT799" s="66"/>
      <c r="BU799" s="66"/>
      <c r="BV799" s="66"/>
      <c r="BW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66"/>
      <c r="AU800" s="66"/>
      <c r="AV800" s="66"/>
      <c r="AW800" s="66"/>
      <c r="AX800" s="66"/>
      <c r="AY800" s="66"/>
      <c r="AZ800" s="66"/>
      <c r="BA800" s="66"/>
      <c r="BB800" s="66"/>
      <c r="BC800" s="66"/>
      <c r="BD800" s="66"/>
      <c r="BE800" s="66"/>
      <c r="BF800" s="66"/>
      <c r="BG800" s="66"/>
      <c r="BH800" s="66"/>
      <c r="BI800" s="66"/>
      <c r="BJ800" s="66"/>
      <c r="BK800" s="66"/>
      <c r="BL800" s="66"/>
      <c r="BM800" s="66"/>
      <c r="BN800" s="66"/>
      <c r="BO800" s="66"/>
      <c r="BP800" s="66"/>
      <c r="BQ800" s="66"/>
      <c r="BR800" s="66"/>
      <c r="BS800" s="66"/>
      <c r="BT800" s="66"/>
      <c r="BU800" s="66"/>
      <c r="BV800" s="66"/>
      <c r="BW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  <c r="AS801" s="66"/>
      <c r="AT801" s="66"/>
      <c r="AU801" s="66"/>
      <c r="AV801" s="66"/>
      <c r="AW801" s="66"/>
      <c r="AX801" s="66"/>
      <c r="AY801" s="66"/>
      <c r="AZ801" s="66"/>
      <c r="BA801" s="66"/>
      <c r="BB801" s="66"/>
      <c r="BC801" s="66"/>
      <c r="BD801" s="66"/>
      <c r="BE801" s="66"/>
      <c r="BF801" s="66"/>
      <c r="BG801" s="66"/>
      <c r="BH801" s="66"/>
      <c r="BI801" s="66"/>
      <c r="BJ801" s="66"/>
      <c r="BK801" s="66"/>
      <c r="BL801" s="66"/>
      <c r="BM801" s="66"/>
      <c r="BN801" s="66"/>
      <c r="BO801" s="66"/>
      <c r="BP801" s="66"/>
      <c r="BQ801" s="66"/>
      <c r="BR801" s="66"/>
      <c r="BS801" s="66"/>
      <c r="BT801" s="66"/>
      <c r="BU801" s="66"/>
      <c r="BV801" s="66"/>
      <c r="BW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66"/>
      <c r="AU802" s="66"/>
      <c r="AV802" s="66"/>
      <c r="AW802" s="66"/>
      <c r="AX802" s="66"/>
      <c r="AY802" s="66"/>
      <c r="AZ802" s="66"/>
      <c r="BA802" s="66"/>
      <c r="BB802" s="66"/>
      <c r="BC802" s="66"/>
      <c r="BD802" s="66"/>
      <c r="BE802" s="66"/>
      <c r="BF802" s="66"/>
      <c r="BG802" s="66"/>
      <c r="BH802" s="66"/>
      <c r="BI802" s="66"/>
      <c r="BJ802" s="66"/>
      <c r="BK802" s="66"/>
      <c r="BL802" s="66"/>
      <c r="BM802" s="66"/>
      <c r="BN802" s="66"/>
      <c r="BO802" s="66"/>
      <c r="BP802" s="66"/>
      <c r="BQ802" s="66"/>
      <c r="BR802" s="66"/>
      <c r="BS802" s="66"/>
      <c r="BT802" s="66"/>
      <c r="BU802" s="66"/>
      <c r="BV802" s="66"/>
      <c r="BW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66"/>
      <c r="AZ803" s="66"/>
      <c r="BA803" s="66"/>
      <c r="BB803" s="66"/>
      <c r="BC803" s="66"/>
      <c r="BD803" s="66"/>
      <c r="BE803" s="66"/>
      <c r="BF803" s="66"/>
      <c r="BG803" s="66"/>
      <c r="BH803" s="66"/>
      <c r="BI803" s="66"/>
      <c r="BJ803" s="66"/>
      <c r="BK803" s="66"/>
      <c r="BL803" s="66"/>
      <c r="BM803" s="66"/>
      <c r="BN803" s="66"/>
      <c r="BO803" s="66"/>
      <c r="BP803" s="66"/>
      <c r="BQ803" s="66"/>
      <c r="BR803" s="66"/>
      <c r="BS803" s="66"/>
      <c r="BT803" s="66"/>
      <c r="BU803" s="66"/>
      <c r="BV803" s="66"/>
      <c r="BW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  <c r="BD804" s="66"/>
      <c r="BE804" s="66"/>
      <c r="BF804" s="66"/>
      <c r="BG804" s="66"/>
      <c r="BH804" s="66"/>
      <c r="BI804" s="66"/>
      <c r="BJ804" s="66"/>
      <c r="BK804" s="66"/>
      <c r="BL804" s="66"/>
      <c r="BM804" s="66"/>
      <c r="BN804" s="66"/>
      <c r="BO804" s="66"/>
      <c r="BP804" s="66"/>
      <c r="BQ804" s="66"/>
      <c r="BR804" s="66"/>
      <c r="BS804" s="66"/>
      <c r="BT804" s="66"/>
      <c r="BU804" s="66"/>
      <c r="BV804" s="66"/>
      <c r="BW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  <c r="AS805" s="66"/>
      <c r="AT805" s="66"/>
      <c r="AU805" s="66"/>
      <c r="AV805" s="66"/>
      <c r="AW805" s="66"/>
      <c r="AX805" s="66"/>
      <c r="AY805" s="66"/>
      <c r="AZ805" s="66"/>
      <c r="BA805" s="66"/>
      <c r="BB805" s="66"/>
      <c r="BC805" s="66"/>
      <c r="BD805" s="66"/>
      <c r="BE805" s="66"/>
      <c r="BF805" s="66"/>
      <c r="BG805" s="66"/>
      <c r="BH805" s="66"/>
      <c r="BI805" s="66"/>
      <c r="BJ805" s="66"/>
      <c r="BK805" s="66"/>
      <c r="BL805" s="66"/>
      <c r="BM805" s="66"/>
      <c r="BN805" s="66"/>
      <c r="BO805" s="66"/>
      <c r="BP805" s="66"/>
      <c r="BQ805" s="66"/>
      <c r="BR805" s="66"/>
      <c r="BS805" s="66"/>
      <c r="BT805" s="66"/>
      <c r="BU805" s="66"/>
      <c r="BV805" s="66"/>
      <c r="BW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66"/>
      <c r="AU806" s="66"/>
      <c r="AV806" s="66"/>
      <c r="AW806" s="66"/>
      <c r="AX806" s="66"/>
      <c r="AY806" s="66"/>
      <c r="AZ806" s="66"/>
      <c r="BA806" s="66"/>
      <c r="BB806" s="66"/>
      <c r="BC806" s="66"/>
      <c r="BD806" s="66"/>
      <c r="BE806" s="66"/>
      <c r="BF806" s="66"/>
      <c r="BG806" s="66"/>
      <c r="BH806" s="66"/>
      <c r="BI806" s="66"/>
      <c r="BJ806" s="66"/>
      <c r="BK806" s="66"/>
      <c r="BL806" s="66"/>
      <c r="BM806" s="66"/>
      <c r="BN806" s="66"/>
      <c r="BO806" s="66"/>
      <c r="BP806" s="66"/>
      <c r="BQ806" s="66"/>
      <c r="BR806" s="66"/>
      <c r="BS806" s="66"/>
      <c r="BT806" s="66"/>
      <c r="BU806" s="66"/>
      <c r="BV806" s="66"/>
      <c r="BW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66"/>
      <c r="AU807" s="66"/>
      <c r="AV807" s="66"/>
      <c r="AW807" s="66"/>
      <c r="AX807" s="66"/>
      <c r="AY807" s="66"/>
      <c r="AZ807" s="66"/>
      <c r="BA807" s="66"/>
      <c r="BB807" s="66"/>
      <c r="BC807" s="66"/>
      <c r="BD807" s="66"/>
      <c r="BE807" s="66"/>
      <c r="BF807" s="66"/>
      <c r="BG807" s="66"/>
      <c r="BH807" s="66"/>
      <c r="BI807" s="66"/>
      <c r="BJ807" s="66"/>
      <c r="BK807" s="66"/>
      <c r="BL807" s="66"/>
      <c r="BM807" s="66"/>
      <c r="BN807" s="66"/>
      <c r="BO807" s="66"/>
      <c r="BP807" s="66"/>
      <c r="BQ807" s="66"/>
      <c r="BR807" s="66"/>
      <c r="BS807" s="66"/>
      <c r="BT807" s="66"/>
      <c r="BU807" s="66"/>
      <c r="BV807" s="66"/>
      <c r="BW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  <c r="BD808" s="66"/>
      <c r="BE808" s="66"/>
      <c r="BF808" s="66"/>
      <c r="BG808" s="66"/>
      <c r="BH808" s="66"/>
      <c r="BI808" s="66"/>
      <c r="BJ808" s="66"/>
      <c r="BK808" s="66"/>
      <c r="BL808" s="66"/>
      <c r="BM808" s="66"/>
      <c r="BN808" s="66"/>
      <c r="BO808" s="66"/>
      <c r="BP808" s="66"/>
      <c r="BQ808" s="66"/>
      <c r="BR808" s="66"/>
      <c r="BS808" s="66"/>
      <c r="BT808" s="66"/>
      <c r="BU808" s="66"/>
      <c r="BV808" s="66"/>
      <c r="BW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66"/>
      <c r="AU809" s="66"/>
      <c r="AV809" s="66"/>
      <c r="AW809" s="66"/>
      <c r="AX809" s="66"/>
      <c r="AY809" s="66"/>
      <c r="AZ809" s="66"/>
      <c r="BA809" s="66"/>
      <c r="BB809" s="66"/>
      <c r="BC809" s="66"/>
      <c r="BD809" s="66"/>
      <c r="BE809" s="66"/>
      <c r="BF809" s="66"/>
      <c r="BG809" s="66"/>
      <c r="BH809" s="66"/>
      <c r="BI809" s="66"/>
      <c r="BJ809" s="66"/>
      <c r="BK809" s="66"/>
      <c r="BL809" s="66"/>
      <c r="BM809" s="66"/>
      <c r="BN809" s="66"/>
      <c r="BO809" s="66"/>
      <c r="BP809" s="66"/>
      <c r="BQ809" s="66"/>
      <c r="BR809" s="66"/>
      <c r="BS809" s="66"/>
      <c r="BT809" s="66"/>
      <c r="BU809" s="66"/>
      <c r="BV809" s="66"/>
      <c r="BW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  <c r="AS810" s="66"/>
      <c r="AT810" s="66"/>
      <c r="AU810" s="66"/>
      <c r="AV810" s="66"/>
      <c r="AW810" s="66"/>
      <c r="AX810" s="66"/>
      <c r="AY810" s="66"/>
      <c r="AZ810" s="66"/>
      <c r="BA810" s="66"/>
      <c r="BB810" s="66"/>
      <c r="BC810" s="66"/>
      <c r="BD810" s="66"/>
      <c r="BE810" s="66"/>
      <c r="BF810" s="66"/>
      <c r="BG810" s="66"/>
      <c r="BH810" s="66"/>
      <c r="BI810" s="66"/>
      <c r="BJ810" s="66"/>
      <c r="BK810" s="66"/>
      <c r="BL810" s="66"/>
      <c r="BM810" s="66"/>
      <c r="BN810" s="66"/>
      <c r="BO810" s="66"/>
      <c r="BP810" s="66"/>
      <c r="BQ810" s="66"/>
      <c r="BR810" s="66"/>
      <c r="BS810" s="66"/>
      <c r="BT810" s="66"/>
      <c r="BU810" s="66"/>
      <c r="BV810" s="66"/>
      <c r="BW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66"/>
      <c r="AU811" s="66"/>
      <c r="AV811" s="66"/>
      <c r="AW811" s="66"/>
      <c r="AX811" s="66"/>
      <c r="AY811" s="66"/>
      <c r="AZ811" s="66"/>
      <c r="BA811" s="66"/>
      <c r="BB811" s="66"/>
      <c r="BC811" s="66"/>
      <c r="BD811" s="66"/>
      <c r="BE811" s="66"/>
      <c r="BF811" s="66"/>
      <c r="BG811" s="66"/>
      <c r="BH811" s="66"/>
      <c r="BI811" s="66"/>
      <c r="BJ811" s="66"/>
      <c r="BK811" s="66"/>
      <c r="BL811" s="66"/>
      <c r="BM811" s="66"/>
      <c r="BN811" s="66"/>
      <c r="BO811" s="66"/>
      <c r="BP811" s="66"/>
      <c r="BQ811" s="66"/>
      <c r="BR811" s="66"/>
      <c r="BS811" s="66"/>
      <c r="BT811" s="66"/>
      <c r="BU811" s="66"/>
      <c r="BV811" s="66"/>
      <c r="BW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/>
      <c r="BJ812" s="66"/>
      <c r="BK812" s="66"/>
      <c r="BL812" s="66"/>
      <c r="BM812" s="66"/>
      <c r="BN812" s="66"/>
      <c r="BO812" s="66"/>
      <c r="BP812" s="66"/>
      <c r="BQ812" s="66"/>
      <c r="BR812" s="66"/>
      <c r="BS812" s="66"/>
      <c r="BT812" s="66"/>
      <c r="BU812" s="66"/>
      <c r="BV812" s="66"/>
      <c r="BW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  <c r="BD813" s="66"/>
      <c r="BE813" s="66"/>
      <c r="BF813" s="66"/>
      <c r="BG813" s="66"/>
      <c r="BH813" s="66"/>
      <c r="BI813" s="66"/>
      <c r="BJ813" s="66"/>
      <c r="BK813" s="66"/>
      <c r="BL813" s="66"/>
      <c r="BM813" s="66"/>
      <c r="BN813" s="66"/>
      <c r="BO813" s="66"/>
      <c r="BP813" s="66"/>
      <c r="BQ813" s="66"/>
      <c r="BR813" s="66"/>
      <c r="BS813" s="66"/>
      <c r="BT813" s="66"/>
      <c r="BU813" s="66"/>
      <c r="BV813" s="66"/>
      <c r="BW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/>
      <c r="AY814" s="66"/>
      <c r="AZ814" s="66"/>
      <c r="BA814" s="66"/>
      <c r="BB814" s="66"/>
      <c r="BC814" s="66"/>
      <c r="BD814" s="66"/>
      <c r="BE814" s="66"/>
      <c r="BF814" s="66"/>
      <c r="BG814" s="66"/>
      <c r="BH814" s="66"/>
      <c r="BI814" s="66"/>
      <c r="BJ814" s="66"/>
      <c r="BK814" s="66"/>
      <c r="BL814" s="66"/>
      <c r="BM814" s="66"/>
      <c r="BN814" s="66"/>
      <c r="BO814" s="66"/>
      <c r="BP814" s="66"/>
      <c r="BQ814" s="66"/>
      <c r="BR814" s="66"/>
      <c r="BS814" s="66"/>
      <c r="BT814" s="66"/>
      <c r="BU814" s="66"/>
      <c r="BV814" s="66"/>
      <c r="BW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  <c r="BC815" s="66"/>
      <c r="BD815" s="66"/>
      <c r="BE815" s="66"/>
      <c r="BF815" s="66"/>
      <c r="BG815" s="66"/>
      <c r="BH815" s="66"/>
      <c r="BI815" s="66"/>
      <c r="BJ815" s="66"/>
      <c r="BK815" s="66"/>
      <c r="BL815" s="66"/>
      <c r="BM815" s="66"/>
      <c r="BN815" s="66"/>
      <c r="BO815" s="66"/>
      <c r="BP815" s="66"/>
      <c r="BQ815" s="66"/>
      <c r="BR815" s="66"/>
      <c r="BS815" s="66"/>
      <c r="BT815" s="66"/>
      <c r="BU815" s="66"/>
      <c r="BV815" s="66"/>
      <c r="BW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  <c r="BC816" s="66"/>
      <c r="BD816" s="66"/>
      <c r="BE816" s="66"/>
      <c r="BF816" s="66"/>
      <c r="BG816" s="66"/>
      <c r="BH816" s="66"/>
      <c r="BI816" s="66"/>
      <c r="BJ816" s="66"/>
      <c r="BK816" s="66"/>
      <c r="BL816" s="66"/>
      <c r="BM816" s="66"/>
      <c r="BN816" s="66"/>
      <c r="BO816" s="66"/>
      <c r="BP816" s="66"/>
      <c r="BQ816" s="66"/>
      <c r="BR816" s="66"/>
      <c r="BS816" s="66"/>
      <c r="BT816" s="66"/>
      <c r="BU816" s="66"/>
      <c r="BV816" s="66"/>
      <c r="BW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  <c r="BC817" s="66"/>
      <c r="BD817" s="66"/>
      <c r="BE817" s="66"/>
      <c r="BF817" s="66"/>
      <c r="BG817" s="66"/>
      <c r="BH817" s="66"/>
      <c r="BI817" s="66"/>
      <c r="BJ817" s="66"/>
      <c r="BK817" s="66"/>
      <c r="BL817" s="66"/>
      <c r="BM817" s="66"/>
      <c r="BN817" s="66"/>
      <c r="BO817" s="66"/>
      <c r="BP817" s="66"/>
      <c r="BQ817" s="66"/>
      <c r="BR817" s="66"/>
      <c r="BS817" s="66"/>
      <c r="BT817" s="66"/>
      <c r="BU817" s="66"/>
      <c r="BV817" s="66"/>
      <c r="BW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  <c r="BC818" s="66"/>
      <c r="BD818" s="66"/>
      <c r="BE818" s="66"/>
      <c r="BF818" s="66"/>
      <c r="BG818" s="66"/>
      <c r="BH818" s="66"/>
      <c r="BI818" s="66"/>
      <c r="BJ818" s="66"/>
      <c r="BK818" s="66"/>
      <c r="BL818" s="66"/>
      <c r="BM818" s="66"/>
      <c r="BN818" s="66"/>
      <c r="BO818" s="66"/>
      <c r="BP818" s="66"/>
      <c r="BQ818" s="66"/>
      <c r="BR818" s="66"/>
      <c r="BS818" s="66"/>
      <c r="BT818" s="66"/>
      <c r="BU818" s="66"/>
      <c r="BV818" s="66"/>
      <c r="BW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  <c r="BC819" s="66"/>
      <c r="BD819" s="66"/>
      <c r="BE819" s="66"/>
      <c r="BF819" s="66"/>
      <c r="BG819" s="66"/>
      <c r="BH819" s="66"/>
      <c r="BI819" s="66"/>
      <c r="BJ819" s="66"/>
      <c r="BK819" s="66"/>
      <c r="BL819" s="66"/>
      <c r="BM819" s="66"/>
      <c r="BN819" s="66"/>
      <c r="BO819" s="66"/>
      <c r="BP819" s="66"/>
      <c r="BQ819" s="66"/>
      <c r="BR819" s="66"/>
      <c r="BS819" s="66"/>
      <c r="BT819" s="66"/>
      <c r="BU819" s="66"/>
      <c r="BV819" s="66"/>
      <c r="BW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  <c r="BC820" s="66"/>
      <c r="BD820" s="66"/>
      <c r="BE820" s="66"/>
      <c r="BF820" s="66"/>
      <c r="BG820" s="66"/>
      <c r="BH820" s="66"/>
      <c r="BI820" s="66"/>
      <c r="BJ820" s="66"/>
      <c r="BK820" s="66"/>
      <c r="BL820" s="66"/>
      <c r="BM820" s="66"/>
      <c r="BN820" s="66"/>
      <c r="BO820" s="66"/>
      <c r="BP820" s="66"/>
      <c r="BQ820" s="66"/>
      <c r="BR820" s="66"/>
      <c r="BS820" s="66"/>
      <c r="BT820" s="66"/>
      <c r="BU820" s="66"/>
      <c r="BV820" s="66"/>
      <c r="BW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  <c r="BC821" s="66"/>
      <c r="BD821" s="66"/>
      <c r="BE821" s="66"/>
      <c r="BF821" s="66"/>
      <c r="BG821" s="66"/>
      <c r="BH821" s="66"/>
      <c r="BI821" s="66"/>
      <c r="BJ821" s="66"/>
      <c r="BK821" s="66"/>
      <c r="BL821" s="66"/>
      <c r="BM821" s="66"/>
      <c r="BN821" s="66"/>
      <c r="BO821" s="66"/>
      <c r="BP821" s="66"/>
      <c r="BQ821" s="66"/>
      <c r="BR821" s="66"/>
      <c r="BS821" s="66"/>
      <c r="BT821" s="66"/>
      <c r="BU821" s="66"/>
      <c r="BV821" s="66"/>
      <c r="BW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  <c r="BC822" s="66"/>
      <c r="BD822" s="66"/>
      <c r="BE822" s="66"/>
      <c r="BF822" s="66"/>
      <c r="BG822" s="66"/>
      <c r="BH822" s="66"/>
      <c r="BI822" s="66"/>
      <c r="BJ822" s="66"/>
      <c r="BK822" s="66"/>
      <c r="BL822" s="66"/>
      <c r="BM822" s="66"/>
      <c r="BN822" s="66"/>
      <c r="BO822" s="66"/>
      <c r="BP822" s="66"/>
      <c r="BQ822" s="66"/>
      <c r="BR822" s="66"/>
      <c r="BS822" s="66"/>
      <c r="BT822" s="66"/>
      <c r="BU822" s="66"/>
      <c r="BV822" s="66"/>
      <c r="BW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/>
      <c r="BJ823" s="66"/>
      <c r="BK823" s="66"/>
      <c r="BL823" s="66"/>
      <c r="BM823" s="66"/>
      <c r="BN823" s="66"/>
      <c r="BO823" s="66"/>
      <c r="BP823" s="66"/>
      <c r="BQ823" s="66"/>
      <c r="BR823" s="66"/>
      <c r="BS823" s="66"/>
      <c r="BT823" s="66"/>
      <c r="BU823" s="66"/>
      <c r="BV823" s="66"/>
      <c r="BW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66"/>
      <c r="AZ824" s="66"/>
      <c r="BA824" s="66"/>
      <c r="BB824" s="66"/>
      <c r="BC824" s="66"/>
      <c r="BD824" s="66"/>
      <c r="BE824" s="66"/>
      <c r="BF824" s="66"/>
      <c r="BG824" s="66"/>
      <c r="BH824" s="66"/>
      <c r="BI824" s="66"/>
      <c r="BJ824" s="66"/>
      <c r="BK824" s="66"/>
      <c r="BL824" s="66"/>
      <c r="BM824" s="66"/>
      <c r="BN824" s="66"/>
      <c r="BO824" s="66"/>
      <c r="BP824" s="66"/>
      <c r="BQ824" s="66"/>
      <c r="BR824" s="66"/>
      <c r="BS824" s="66"/>
      <c r="BT824" s="66"/>
      <c r="BU824" s="66"/>
      <c r="BV824" s="66"/>
      <c r="BW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  <c r="AS825" s="66"/>
      <c r="AT825" s="66"/>
      <c r="AU825" s="66"/>
      <c r="AV825" s="66"/>
      <c r="AW825" s="66"/>
      <c r="AX825" s="66"/>
      <c r="AY825" s="66"/>
      <c r="AZ825" s="66"/>
      <c r="BA825" s="66"/>
      <c r="BB825" s="66"/>
      <c r="BC825" s="66"/>
      <c r="BD825" s="66"/>
      <c r="BE825" s="66"/>
      <c r="BF825" s="66"/>
      <c r="BG825" s="66"/>
      <c r="BH825" s="66"/>
      <c r="BI825" s="66"/>
      <c r="BJ825" s="66"/>
      <c r="BK825" s="66"/>
      <c r="BL825" s="66"/>
      <c r="BM825" s="66"/>
      <c r="BN825" s="66"/>
      <c r="BO825" s="66"/>
      <c r="BP825" s="66"/>
      <c r="BQ825" s="66"/>
      <c r="BR825" s="66"/>
      <c r="BS825" s="66"/>
      <c r="BT825" s="66"/>
      <c r="BU825" s="66"/>
      <c r="BV825" s="66"/>
      <c r="BW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66"/>
      <c r="AU826" s="66"/>
      <c r="AV826" s="66"/>
      <c r="AW826" s="66"/>
      <c r="AX826" s="66"/>
      <c r="AY826" s="66"/>
      <c r="AZ826" s="66"/>
      <c r="BA826" s="66"/>
      <c r="BB826" s="66"/>
      <c r="BC826" s="66"/>
      <c r="BD826" s="66"/>
      <c r="BE826" s="66"/>
      <c r="BF826" s="66"/>
      <c r="BG826" s="66"/>
      <c r="BH826" s="66"/>
      <c r="BI826" s="66"/>
      <c r="BJ826" s="66"/>
      <c r="BK826" s="66"/>
      <c r="BL826" s="66"/>
      <c r="BM826" s="66"/>
      <c r="BN826" s="66"/>
      <c r="BO826" s="66"/>
      <c r="BP826" s="66"/>
      <c r="BQ826" s="66"/>
      <c r="BR826" s="66"/>
      <c r="BS826" s="66"/>
      <c r="BT826" s="66"/>
      <c r="BU826" s="66"/>
      <c r="BV826" s="66"/>
      <c r="BW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66"/>
      <c r="AU827" s="66"/>
      <c r="AV827" s="66"/>
      <c r="AW827" s="66"/>
      <c r="AX827" s="66"/>
      <c r="AY827" s="66"/>
      <c r="AZ827" s="66"/>
      <c r="BA827" s="66"/>
      <c r="BB827" s="66"/>
      <c r="BC827" s="66"/>
      <c r="BD827" s="66"/>
      <c r="BE827" s="66"/>
      <c r="BF827" s="66"/>
      <c r="BG827" s="66"/>
      <c r="BH827" s="66"/>
      <c r="BI827" s="66"/>
      <c r="BJ827" s="66"/>
      <c r="BK827" s="66"/>
      <c r="BL827" s="66"/>
      <c r="BM827" s="66"/>
      <c r="BN827" s="66"/>
      <c r="BO827" s="66"/>
      <c r="BP827" s="66"/>
      <c r="BQ827" s="66"/>
      <c r="BR827" s="66"/>
      <c r="BS827" s="66"/>
      <c r="BT827" s="66"/>
      <c r="BU827" s="66"/>
      <c r="BV827" s="66"/>
      <c r="BW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  <c r="AS828" s="66"/>
      <c r="AT828" s="66"/>
      <c r="AU828" s="66"/>
      <c r="AV828" s="66"/>
      <c r="AW828" s="66"/>
      <c r="AX828" s="66"/>
      <c r="AY828" s="66"/>
      <c r="AZ828" s="66"/>
      <c r="BA828" s="66"/>
      <c r="BB828" s="66"/>
      <c r="BC828" s="66"/>
      <c r="BD828" s="66"/>
      <c r="BE828" s="66"/>
      <c r="BF828" s="66"/>
      <c r="BG828" s="66"/>
      <c r="BH828" s="66"/>
      <c r="BI828" s="66"/>
      <c r="BJ828" s="66"/>
      <c r="BK828" s="66"/>
      <c r="BL828" s="66"/>
      <c r="BM828" s="66"/>
      <c r="BN828" s="66"/>
      <c r="BO828" s="66"/>
      <c r="BP828" s="66"/>
      <c r="BQ828" s="66"/>
      <c r="BR828" s="66"/>
      <c r="BS828" s="66"/>
      <c r="BT828" s="66"/>
      <c r="BU828" s="66"/>
      <c r="BV828" s="66"/>
      <c r="BW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6"/>
      <c r="AS829" s="66"/>
      <c r="AT829" s="66"/>
      <c r="AU829" s="66"/>
      <c r="AV829" s="66"/>
      <c r="AW829" s="66"/>
      <c r="AX829" s="66"/>
      <c r="AY829" s="66"/>
      <c r="AZ829" s="66"/>
      <c r="BA829" s="66"/>
      <c r="BB829" s="66"/>
      <c r="BC829" s="66"/>
      <c r="BD829" s="66"/>
      <c r="BE829" s="66"/>
      <c r="BF829" s="66"/>
      <c r="BG829" s="66"/>
      <c r="BH829" s="66"/>
      <c r="BI829" s="66"/>
      <c r="BJ829" s="66"/>
      <c r="BK829" s="66"/>
      <c r="BL829" s="66"/>
      <c r="BM829" s="66"/>
      <c r="BN829" s="66"/>
      <c r="BO829" s="66"/>
      <c r="BP829" s="66"/>
      <c r="BQ829" s="66"/>
      <c r="BR829" s="66"/>
      <c r="BS829" s="66"/>
      <c r="BT829" s="66"/>
      <c r="BU829" s="66"/>
      <c r="BV829" s="66"/>
      <c r="BW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  <c r="AS830" s="66"/>
      <c r="AT830" s="66"/>
      <c r="AU830" s="66"/>
      <c r="AV830" s="66"/>
      <c r="AW830" s="66"/>
      <c r="AX830" s="66"/>
      <c r="AY830" s="66"/>
      <c r="AZ830" s="66"/>
      <c r="BA830" s="66"/>
      <c r="BB830" s="66"/>
      <c r="BC830" s="66"/>
      <c r="BD830" s="66"/>
      <c r="BE830" s="66"/>
      <c r="BF830" s="66"/>
      <c r="BG830" s="66"/>
      <c r="BH830" s="66"/>
      <c r="BI830" s="66"/>
      <c r="BJ830" s="66"/>
      <c r="BK830" s="66"/>
      <c r="BL830" s="66"/>
      <c r="BM830" s="66"/>
      <c r="BN830" s="66"/>
      <c r="BO830" s="66"/>
      <c r="BP830" s="66"/>
      <c r="BQ830" s="66"/>
      <c r="BR830" s="66"/>
      <c r="BS830" s="66"/>
      <c r="BT830" s="66"/>
      <c r="BU830" s="66"/>
      <c r="BV830" s="66"/>
      <c r="BW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6"/>
      <c r="BB831" s="66"/>
      <c r="BC831" s="66"/>
      <c r="BD831" s="66"/>
      <c r="BE831" s="66"/>
      <c r="BF831" s="66"/>
      <c r="BG831" s="66"/>
      <c r="BH831" s="66"/>
      <c r="BI831" s="66"/>
      <c r="BJ831" s="66"/>
      <c r="BK831" s="66"/>
      <c r="BL831" s="66"/>
      <c r="BM831" s="66"/>
      <c r="BN831" s="66"/>
      <c r="BO831" s="66"/>
      <c r="BP831" s="66"/>
      <c r="BQ831" s="66"/>
      <c r="BR831" s="66"/>
      <c r="BS831" s="66"/>
      <c r="BT831" s="66"/>
      <c r="BU831" s="66"/>
      <c r="BV831" s="66"/>
      <c r="BW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66"/>
      <c r="AU832" s="66"/>
      <c r="AV832" s="66"/>
      <c r="AW832" s="66"/>
      <c r="AX832" s="66"/>
      <c r="AY832" s="66"/>
      <c r="AZ832" s="66"/>
      <c r="BA832" s="66"/>
      <c r="BB832" s="66"/>
      <c r="BC832" s="66"/>
      <c r="BD832" s="66"/>
      <c r="BE832" s="66"/>
      <c r="BF832" s="66"/>
      <c r="BG832" s="66"/>
      <c r="BH832" s="66"/>
      <c r="BI832" s="66"/>
      <c r="BJ832" s="66"/>
      <c r="BK832" s="66"/>
      <c r="BL832" s="66"/>
      <c r="BM832" s="66"/>
      <c r="BN832" s="66"/>
      <c r="BO832" s="66"/>
      <c r="BP832" s="66"/>
      <c r="BQ832" s="66"/>
      <c r="BR832" s="66"/>
      <c r="BS832" s="66"/>
      <c r="BT832" s="66"/>
      <c r="BU832" s="66"/>
      <c r="BV832" s="66"/>
      <c r="BW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66"/>
      <c r="AU833" s="66"/>
      <c r="AV833" s="66"/>
      <c r="AW833" s="66"/>
      <c r="AX833" s="66"/>
      <c r="AY833" s="66"/>
      <c r="AZ833" s="66"/>
      <c r="BA833" s="66"/>
      <c r="BB833" s="66"/>
      <c r="BC833" s="66"/>
      <c r="BD833" s="66"/>
      <c r="BE833" s="66"/>
      <c r="BF833" s="66"/>
      <c r="BG833" s="66"/>
      <c r="BH833" s="66"/>
      <c r="BI833" s="66"/>
      <c r="BJ833" s="66"/>
      <c r="BK833" s="66"/>
      <c r="BL833" s="66"/>
      <c r="BM833" s="66"/>
      <c r="BN833" s="66"/>
      <c r="BO833" s="66"/>
      <c r="BP833" s="66"/>
      <c r="BQ833" s="66"/>
      <c r="BR833" s="66"/>
      <c r="BS833" s="66"/>
      <c r="BT833" s="66"/>
      <c r="BU833" s="66"/>
      <c r="BV833" s="66"/>
      <c r="BW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  <c r="AR834" s="66"/>
      <c r="AS834" s="66"/>
      <c r="AT834" s="66"/>
      <c r="AU834" s="66"/>
      <c r="AV834" s="66"/>
      <c r="AW834" s="66"/>
      <c r="AX834" s="66"/>
      <c r="AY834" s="66"/>
      <c r="AZ834" s="66"/>
      <c r="BA834" s="66"/>
      <c r="BB834" s="66"/>
      <c r="BC834" s="66"/>
      <c r="BD834" s="66"/>
      <c r="BE834" s="66"/>
      <c r="BF834" s="66"/>
      <c r="BG834" s="66"/>
      <c r="BH834" s="66"/>
      <c r="BI834" s="66"/>
      <c r="BJ834" s="66"/>
      <c r="BK834" s="66"/>
      <c r="BL834" s="66"/>
      <c r="BM834" s="66"/>
      <c r="BN834" s="66"/>
      <c r="BO834" s="66"/>
      <c r="BP834" s="66"/>
      <c r="BQ834" s="66"/>
      <c r="BR834" s="66"/>
      <c r="BS834" s="66"/>
      <c r="BT834" s="66"/>
      <c r="BU834" s="66"/>
      <c r="BV834" s="66"/>
      <c r="BW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  <c r="AS835" s="66"/>
      <c r="AT835" s="66"/>
      <c r="AU835" s="66"/>
      <c r="AV835" s="66"/>
      <c r="AW835" s="66"/>
      <c r="AX835" s="66"/>
      <c r="AY835" s="66"/>
      <c r="AZ835" s="66"/>
      <c r="BA835" s="66"/>
      <c r="BB835" s="66"/>
      <c r="BC835" s="66"/>
      <c r="BD835" s="66"/>
      <c r="BE835" s="66"/>
      <c r="BF835" s="66"/>
      <c r="BG835" s="66"/>
      <c r="BH835" s="66"/>
      <c r="BI835" s="66"/>
      <c r="BJ835" s="66"/>
      <c r="BK835" s="66"/>
      <c r="BL835" s="66"/>
      <c r="BM835" s="66"/>
      <c r="BN835" s="66"/>
      <c r="BO835" s="66"/>
      <c r="BP835" s="66"/>
      <c r="BQ835" s="66"/>
      <c r="BR835" s="66"/>
      <c r="BS835" s="66"/>
      <c r="BT835" s="66"/>
      <c r="BU835" s="66"/>
      <c r="BV835" s="66"/>
      <c r="BW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66"/>
      <c r="AU836" s="66"/>
      <c r="AV836" s="66"/>
      <c r="AW836" s="66"/>
      <c r="AX836" s="66"/>
      <c r="AY836" s="66"/>
      <c r="AZ836" s="66"/>
      <c r="BA836" s="66"/>
      <c r="BB836" s="66"/>
      <c r="BC836" s="66"/>
      <c r="BD836" s="66"/>
      <c r="BE836" s="66"/>
      <c r="BF836" s="66"/>
      <c r="BG836" s="66"/>
      <c r="BH836" s="66"/>
      <c r="BI836" s="66"/>
      <c r="BJ836" s="66"/>
      <c r="BK836" s="66"/>
      <c r="BL836" s="66"/>
      <c r="BM836" s="66"/>
      <c r="BN836" s="66"/>
      <c r="BO836" s="66"/>
      <c r="BP836" s="66"/>
      <c r="BQ836" s="66"/>
      <c r="BR836" s="66"/>
      <c r="BS836" s="66"/>
      <c r="BT836" s="66"/>
      <c r="BU836" s="66"/>
      <c r="BV836" s="66"/>
      <c r="BW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6"/>
      <c r="AS837" s="66"/>
      <c r="AT837" s="66"/>
      <c r="AU837" s="66"/>
      <c r="AV837" s="66"/>
      <c r="AW837" s="66"/>
      <c r="AX837" s="66"/>
      <c r="AY837" s="66"/>
      <c r="AZ837" s="66"/>
      <c r="BA837" s="66"/>
      <c r="BB837" s="66"/>
      <c r="BC837" s="66"/>
      <c r="BD837" s="66"/>
      <c r="BE837" s="66"/>
      <c r="BF837" s="66"/>
      <c r="BG837" s="66"/>
      <c r="BH837" s="66"/>
      <c r="BI837" s="66"/>
      <c r="BJ837" s="66"/>
      <c r="BK837" s="66"/>
      <c r="BL837" s="66"/>
      <c r="BM837" s="66"/>
      <c r="BN837" s="66"/>
      <c r="BO837" s="66"/>
      <c r="BP837" s="66"/>
      <c r="BQ837" s="66"/>
      <c r="BR837" s="66"/>
      <c r="BS837" s="66"/>
      <c r="BT837" s="66"/>
      <c r="BU837" s="66"/>
      <c r="BV837" s="66"/>
      <c r="BW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  <c r="AR838" s="66"/>
      <c r="AS838" s="66"/>
      <c r="AT838" s="66"/>
      <c r="AU838" s="66"/>
      <c r="AV838" s="66"/>
      <c r="AW838" s="66"/>
      <c r="AX838" s="66"/>
      <c r="AY838" s="66"/>
      <c r="AZ838" s="66"/>
      <c r="BA838" s="66"/>
      <c r="BB838" s="66"/>
      <c r="BC838" s="66"/>
      <c r="BD838" s="66"/>
      <c r="BE838" s="66"/>
      <c r="BF838" s="66"/>
      <c r="BG838" s="66"/>
      <c r="BH838" s="66"/>
      <c r="BI838" s="66"/>
      <c r="BJ838" s="66"/>
      <c r="BK838" s="66"/>
      <c r="BL838" s="66"/>
      <c r="BM838" s="66"/>
      <c r="BN838" s="66"/>
      <c r="BO838" s="66"/>
      <c r="BP838" s="66"/>
      <c r="BQ838" s="66"/>
      <c r="BR838" s="66"/>
      <c r="BS838" s="66"/>
      <c r="BT838" s="66"/>
      <c r="BU838" s="66"/>
      <c r="BV838" s="66"/>
      <c r="BW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  <c r="AS839" s="66"/>
      <c r="AT839" s="66"/>
      <c r="AU839" s="66"/>
      <c r="AV839" s="66"/>
      <c r="AW839" s="66"/>
      <c r="AX839" s="66"/>
      <c r="AY839" s="66"/>
      <c r="AZ839" s="66"/>
      <c r="BA839" s="66"/>
      <c r="BB839" s="66"/>
      <c r="BC839" s="66"/>
      <c r="BD839" s="66"/>
      <c r="BE839" s="66"/>
      <c r="BF839" s="66"/>
      <c r="BG839" s="66"/>
      <c r="BH839" s="66"/>
      <c r="BI839" s="66"/>
      <c r="BJ839" s="66"/>
      <c r="BK839" s="66"/>
      <c r="BL839" s="66"/>
      <c r="BM839" s="66"/>
      <c r="BN839" s="66"/>
      <c r="BO839" s="66"/>
      <c r="BP839" s="66"/>
      <c r="BQ839" s="66"/>
      <c r="BR839" s="66"/>
      <c r="BS839" s="66"/>
      <c r="BT839" s="66"/>
      <c r="BU839" s="66"/>
      <c r="BV839" s="66"/>
      <c r="BW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6"/>
      <c r="BB840" s="66"/>
      <c r="BC840" s="66"/>
      <c r="BD840" s="66"/>
      <c r="BE840" s="66"/>
      <c r="BF840" s="66"/>
      <c r="BG840" s="66"/>
      <c r="BH840" s="66"/>
      <c r="BI840" s="66"/>
      <c r="BJ840" s="66"/>
      <c r="BK840" s="66"/>
      <c r="BL840" s="66"/>
      <c r="BM840" s="66"/>
      <c r="BN840" s="66"/>
      <c r="BO840" s="66"/>
      <c r="BP840" s="66"/>
      <c r="BQ840" s="66"/>
      <c r="BR840" s="66"/>
      <c r="BS840" s="66"/>
      <c r="BT840" s="66"/>
      <c r="BU840" s="66"/>
      <c r="BV840" s="66"/>
      <c r="BW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66"/>
      <c r="AU841" s="66"/>
      <c r="AV841" s="66"/>
      <c r="AW841" s="66"/>
      <c r="AX841" s="66"/>
      <c r="AY841" s="66"/>
      <c r="AZ841" s="66"/>
      <c r="BA841" s="66"/>
      <c r="BB841" s="66"/>
      <c r="BC841" s="66"/>
      <c r="BD841" s="66"/>
      <c r="BE841" s="66"/>
      <c r="BF841" s="66"/>
      <c r="BG841" s="66"/>
      <c r="BH841" s="66"/>
      <c r="BI841" s="66"/>
      <c r="BJ841" s="66"/>
      <c r="BK841" s="66"/>
      <c r="BL841" s="66"/>
      <c r="BM841" s="66"/>
      <c r="BN841" s="66"/>
      <c r="BO841" s="66"/>
      <c r="BP841" s="66"/>
      <c r="BQ841" s="66"/>
      <c r="BR841" s="66"/>
      <c r="BS841" s="66"/>
      <c r="BT841" s="66"/>
      <c r="BU841" s="66"/>
      <c r="BV841" s="66"/>
      <c r="BW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  <c r="AS842" s="66"/>
      <c r="AT842" s="66"/>
      <c r="AU842" s="66"/>
      <c r="AV842" s="66"/>
      <c r="AW842" s="66"/>
      <c r="AX842" s="66"/>
      <c r="AY842" s="66"/>
      <c r="AZ842" s="66"/>
      <c r="BA842" s="66"/>
      <c r="BB842" s="66"/>
      <c r="BC842" s="66"/>
      <c r="BD842" s="66"/>
      <c r="BE842" s="66"/>
      <c r="BF842" s="66"/>
      <c r="BG842" s="66"/>
      <c r="BH842" s="66"/>
      <c r="BI842" s="66"/>
      <c r="BJ842" s="66"/>
      <c r="BK842" s="66"/>
      <c r="BL842" s="66"/>
      <c r="BM842" s="66"/>
      <c r="BN842" s="66"/>
      <c r="BO842" s="66"/>
      <c r="BP842" s="66"/>
      <c r="BQ842" s="66"/>
      <c r="BR842" s="66"/>
      <c r="BS842" s="66"/>
      <c r="BT842" s="66"/>
      <c r="BU842" s="66"/>
      <c r="BV842" s="66"/>
      <c r="BW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  <c r="AS843" s="66"/>
      <c r="AT843" s="66"/>
      <c r="AU843" s="66"/>
      <c r="AV843" s="66"/>
      <c r="AW843" s="66"/>
      <c r="AX843" s="66"/>
      <c r="AY843" s="66"/>
      <c r="AZ843" s="66"/>
      <c r="BA843" s="66"/>
      <c r="BB843" s="66"/>
      <c r="BC843" s="66"/>
      <c r="BD843" s="66"/>
      <c r="BE843" s="66"/>
      <c r="BF843" s="66"/>
      <c r="BG843" s="66"/>
      <c r="BH843" s="66"/>
      <c r="BI843" s="66"/>
      <c r="BJ843" s="66"/>
      <c r="BK843" s="66"/>
      <c r="BL843" s="66"/>
      <c r="BM843" s="66"/>
      <c r="BN843" s="66"/>
      <c r="BO843" s="66"/>
      <c r="BP843" s="66"/>
      <c r="BQ843" s="66"/>
      <c r="BR843" s="66"/>
      <c r="BS843" s="66"/>
      <c r="BT843" s="66"/>
      <c r="BU843" s="66"/>
      <c r="BV843" s="66"/>
      <c r="BW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66"/>
      <c r="AZ844" s="66"/>
      <c r="BA844" s="66"/>
      <c r="BB844" s="66"/>
      <c r="BC844" s="66"/>
      <c r="BD844" s="66"/>
      <c r="BE844" s="66"/>
      <c r="BF844" s="66"/>
      <c r="BG844" s="66"/>
      <c r="BH844" s="66"/>
      <c r="BI844" s="66"/>
      <c r="BJ844" s="66"/>
      <c r="BK844" s="66"/>
      <c r="BL844" s="66"/>
      <c r="BM844" s="66"/>
      <c r="BN844" s="66"/>
      <c r="BO844" s="66"/>
      <c r="BP844" s="66"/>
      <c r="BQ844" s="66"/>
      <c r="BR844" s="66"/>
      <c r="BS844" s="66"/>
      <c r="BT844" s="66"/>
      <c r="BU844" s="66"/>
      <c r="BV844" s="66"/>
      <c r="BW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66"/>
      <c r="AZ845" s="66"/>
      <c r="BA845" s="66"/>
      <c r="BB845" s="66"/>
      <c r="BC845" s="66"/>
      <c r="BD845" s="66"/>
      <c r="BE845" s="66"/>
      <c r="BF845" s="66"/>
      <c r="BG845" s="66"/>
      <c r="BH845" s="66"/>
      <c r="BI845" s="66"/>
      <c r="BJ845" s="66"/>
      <c r="BK845" s="66"/>
      <c r="BL845" s="66"/>
      <c r="BM845" s="66"/>
      <c r="BN845" s="66"/>
      <c r="BO845" s="66"/>
      <c r="BP845" s="66"/>
      <c r="BQ845" s="66"/>
      <c r="BR845" s="66"/>
      <c r="BS845" s="66"/>
      <c r="BT845" s="66"/>
      <c r="BU845" s="66"/>
      <c r="BV845" s="66"/>
      <c r="BW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  <c r="AS846" s="66"/>
      <c r="AT846" s="66"/>
      <c r="AU846" s="66"/>
      <c r="AV846" s="66"/>
      <c r="AW846" s="66"/>
      <c r="AX846" s="66"/>
      <c r="AY846" s="66"/>
      <c r="AZ846" s="66"/>
      <c r="BA846" s="66"/>
      <c r="BB846" s="66"/>
      <c r="BC846" s="66"/>
      <c r="BD846" s="66"/>
      <c r="BE846" s="66"/>
      <c r="BF846" s="66"/>
      <c r="BG846" s="66"/>
      <c r="BH846" s="66"/>
      <c r="BI846" s="66"/>
      <c r="BJ846" s="66"/>
      <c r="BK846" s="66"/>
      <c r="BL846" s="66"/>
      <c r="BM846" s="66"/>
      <c r="BN846" s="66"/>
      <c r="BO846" s="66"/>
      <c r="BP846" s="66"/>
      <c r="BQ846" s="66"/>
      <c r="BR846" s="66"/>
      <c r="BS846" s="66"/>
      <c r="BT846" s="66"/>
      <c r="BU846" s="66"/>
      <c r="BV846" s="66"/>
      <c r="BW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66"/>
      <c r="AU847" s="66"/>
      <c r="AV847" s="66"/>
      <c r="AW847" s="66"/>
      <c r="AX847" s="66"/>
      <c r="AY847" s="66"/>
      <c r="AZ847" s="66"/>
      <c r="BA847" s="66"/>
      <c r="BB847" s="66"/>
      <c r="BC847" s="66"/>
      <c r="BD847" s="66"/>
      <c r="BE847" s="66"/>
      <c r="BF847" s="66"/>
      <c r="BG847" s="66"/>
      <c r="BH847" s="66"/>
      <c r="BI847" s="66"/>
      <c r="BJ847" s="66"/>
      <c r="BK847" s="66"/>
      <c r="BL847" s="66"/>
      <c r="BM847" s="66"/>
      <c r="BN847" s="66"/>
      <c r="BO847" s="66"/>
      <c r="BP847" s="66"/>
      <c r="BQ847" s="66"/>
      <c r="BR847" s="66"/>
      <c r="BS847" s="66"/>
      <c r="BT847" s="66"/>
      <c r="BU847" s="66"/>
      <c r="BV847" s="66"/>
      <c r="BW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  <c r="AS848" s="66"/>
      <c r="AT848" s="66"/>
      <c r="AU848" s="66"/>
      <c r="AV848" s="66"/>
      <c r="AW848" s="66"/>
      <c r="AX848" s="66"/>
      <c r="AY848" s="66"/>
      <c r="AZ848" s="66"/>
      <c r="BA848" s="66"/>
      <c r="BB848" s="66"/>
      <c r="BC848" s="66"/>
      <c r="BD848" s="66"/>
      <c r="BE848" s="66"/>
      <c r="BF848" s="66"/>
      <c r="BG848" s="66"/>
      <c r="BH848" s="66"/>
      <c r="BI848" s="66"/>
      <c r="BJ848" s="66"/>
      <c r="BK848" s="66"/>
      <c r="BL848" s="66"/>
      <c r="BM848" s="66"/>
      <c r="BN848" s="66"/>
      <c r="BO848" s="66"/>
      <c r="BP848" s="66"/>
      <c r="BQ848" s="66"/>
      <c r="BR848" s="66"/>
      <c r="BS848" s="66"/>
      <c r="BT848" s="66"/>
      <c r="BU848" s="66"/>
      <c r="BV848" s="66"/>
      <c r="BW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6"/>
      <c r="BB849" s="66"/>
      <c r="BC849" s="66"/>
      <c r="BD849" s="66"/>
      <c r="BE849" s="66"/>
      <c r="BF849" s="66"/>
      <c r="BG849" s="66"/>
      <c r="BH849" s="66"/>
      <c r="BI849" s="66"/>
      <c r="BJ849" s="66"/>
      <c r="BK849" s="66"/>
      <c r="BL849" s="66"/>
      <c r="BM849" s="66"/>
      <c r="BN849" s="66"/>
      <c r="BO849" s="66"/>
      <c r="BP849" s="66"/>
      <c r="BQ849" s="66"/>
      <c r="BR849" s="66"/>
      <c r="BS849" s="66"/>
      <c r="BT849" s="66"/>
      <c r="BU849" s="66"/>
      <c r="BV849" s="66"/>
      <c r="BW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66"/>
      <c r="AZ850" s="66"/>
      <c r="BA850" s="66"/>
      <c r="BB850" s="66"/>
      <c r="BC850" s="66"/>
      <c r="BD850" s="66"/>
      <c r="BE850" s="66"/>
      <c r="BF850" s="66"/>
      <c r="BG850" s="66"/>
      <c r="BH850" s="66"/>
      <c r="BI850" s="66"/>
      <c r="BJ850" s="66"/>
      <c r="BK850" s="66"/>
      <c r="BL850" s="66"/>
      <c r="BM850" s="66"/>
      <c r="BN850" s="66"/>
      <c r="BO850" s="66"/>
      <c r="BP850" s="66"/>
      <c r="BQ850" s="66"/>
      <c r="BR850" s="66"/>
      <c r="BS850" s="66"/>
      <c r="BT850" s="66"/>
      <c r="BU850" s="66"/>
      <c r="BV850" s="66"/>
      <c r="BW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  <c r="AS851" s="66"/>
      <c r="AT851" s="66"/>
      <c r="AU851" s="66"/>
      <c r="AV851" s="66"/>
      <c r="AW851" s="66"/>
      <c r="AX851" s="66"/>
      <c r="AY851" s="66"/>
      <c r="AZ851" s="66"/>
      <c r="BA851" s="66"/>
      <c r="BB851" s="66"/>
      <c r="BC851" s="66"/>
      <c r="BD851" s="66"/>
      <c r="BE851" s="66"/>
      <c r="BF851" s="66"/>
      <c r="BG851" s="66"/>
      <c r="BH851" s="66"/>
      <c r="BI851" s="66"/>
      <c r="BJ851" s="66"/>
      <c r="BK851" s="66"/>
      <c r="BL851" s="66"/>
      <c r="BM851" s="66"/>
      <c r="BN851" s="66"/>
      <c r="BO851" s="66"/>
      <c r="BP851" s="66"/>
      <c r="BQ851" s="66"/>
      <c r="BR851" s="66"/>
      <c r="BS851" s="66"/>
      <c r="BT851" s="66"/>
      <c r="BU851" s="66"/>
      <c r="BV851" s="66"/>
      <c r="BW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  <c r="BD852" s="66"/>
      <c r="BE852" s="66"/>
      <c r="BF852" s="66"/>
      <c r="BG852" s="66"/>
      <c r="BH852" s="66"/>
      <c r="BI852" s="66"/>
      <c r="BJ852" s="66"/>
      <c r="BK852" s="66"/>
      <c r="BL852" s="66"/>
      <c r="BM852" s="66"/>
      <c r="BN852" s="66"/>
      <c r="BO852" s="66"/>
      <c r="BP852" s="66"/>
      <c r="BQ852" s="66"/>
      <c r="BR852" s="66"/>
      <c r="BS852" s="66"/>
      <c r="BT852" s="66"/>
      <c r="BU852" s="66"/>
      <c r="BV852" s="66"/>
      <c r="BW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66"/>
      <c r="AU853" s="66"/>
      <c r="AV853" s="66"/>
      <c r="AW853" s="66"/>
      <c r="AX853" s="66"/>
      <c r="AY853" s="66"/>
      <c r="AZ853" s="66"/>
      <c r="BA853" s="66"/>
      <c r="BB853" s="66"/>
      <c r="BC853" s="66"/>
      <c r="BD853" s="66"/>
      <c r="BE853" s="66"/>
      <c r="BF853" s="66"/>
      <c r="BG853" s="66"/>
      <c r="BH853" s="66"/>
      <c r="BI853" s="66"/>
      <c r="BJ853" s="66"/>
      <c r="BK853" s="66"/>
      <c r="BL853" s="66"/>
      <c r="BM853" s="66"/>
      <c r="BN853" s="66"/>
      <c r="BO853" s="66"/>
      <c r="BP853" s="66"/>
      <c r="BQ853" s="66"/>
      <c r="BR853" s="66"/>
      <c r="BS853" s="66"/>
      <c r="BT853" s="66"/>
      <c r="BU853" s="66"/>
      <c r="BV853" s="66"/>
      <c r="BW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66"/>
      <c r="AU854" s="66"/>
      <c r="AV854" s="66"/>
      <c r="AW854" s="66"/>
      <c r="AX854" s="66"/>
      <c r="AY854" s="66"/>
      <c r="AZ854" s="66"/>
      <c r="BA854" s="66"/>
      <c r="BB854" s="66"/>
      <c r="BC854" s="66"/>
      <c r="BD854" s="66"/>
      <c r="BE854" s="66"/>
      <c r="BF854" s="66"/>
      <c r="BG854" s="66"/>
      <c r="BH854" s="66"/>
      <c r="BI854" s="66"/>
      <c r="BJ854" s="66"/>
      <c r="BK854" s="66"/>
      <c r="BL854" s="66"/>
      <c r="BM854" s="66"/>
      <c r="BN854" s="66"/>
      <c r="BO854" s="66"/>
      <c r="BP854" s="66"/>
      <c r="BQ854" s="66"/>
      <c r="BR854" s="66"/>
      <c r="BS854" s="66"/>
      <c r="BT854" s="66"/>
      <c r="BU854" s="66"/>
      <c r="BV854" s="66"/>
      <c r="BW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66"/>
      <c r="AZ855" s="66"/>
      <c r="BA855" s="66"/>
      <c r="BB855" s="66"/>
      <c r="BC855" s="66"/>
      <c r="BD855" s="66"/>
      <c r="BE855" s="66"/>
      <c r="BF855" s="66"/>
      <c r="BG855" s="66"/>
      <c r="BH855" s="66"/>
      <c r="BI855" s="66"/>
      <c r="BJ855" s="66"/>
      <c r="BK855" s="66"/>
      <c r="BL855" s="66"/>
      <c r="BM855" s="66"/>
      <c r="BN855" s="66"/>
      <c r="BO855" s="66"/>
      <c r="BP855" s="66"/>
      <c r="BQ855" s="66"/>
      <c r="BR855" s="66"/>
      <c r="BS855" s="66"/>
      <c r="BT855" s="66"/>
      <c r="BU855" s="66"/>
      <c r="BV855" s="66"/>
      <c r="BW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66"/>
      <c r="AU856" s="66"/>
      <c r="AV856" s="66"/>
      <c r="AW856" s="66"/>
      <c r="AX856" s="66"/>
      <c r="AY856" s="66"/>
      <c r="AZ856" s="66"/>
      <c r="BA856" s="66"/>
      <c r="BB856" s="66"/>
      <c r="BC856" s="66"/>
      <c r="BD856" s="66"/>
      <c r="BE856" s="66"/>
      <c r="BF856" s="66"/>
      <c r="BG856" s="66"/>
      <c r="BH856" s="66"/>
      <c r="BI856" s="66"/>
      <c r="BJ856" s="66"/>
      <c r="BK856" s="66"/>
      <c r="BL856" s="66"/>
      <c r="BM856" s="66"/>
      <c r="BN856" s="66"/>
      <c r="BO856" s="66"/>
      <c r="BP856" s="66"/>
      <c r="BQ856" s="66"/>
      <c r="BR856" s="66"/>
      <c r="BS856" s="66"/>
      <c r="BT856" s="66"/>
      <c r="BU856" s="66"/>
      <c r="BV856" s="66"/>
      <c r="BW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66"/>
      <c r="AU857" s="66"/>
      <c r="AV857" s="66"/>
      <c r="AW857" s="66"/>
      <c r="AX857" s="66"/>
      <c r="AY857" s="66"/>
      <c r="AZ857" s="66"/>
      <c r="BA857" s="66"/>
      <c r="BB857" s="66"/>
      <c r="BC857" s="66"/>
      <c r="BD857" s="66"/>
      <c r="BE857" s="66"/>
      <c r="BF857" s="66"/>
      <c r="BG857" s="66"/>
      <c r="BH857" s="66"/>
      <c r="BI857" s="66"/>
      <c r="BJ857" s="66"/>
      <c r="BK857" s="66"/>
      <c r="BL857" s="66"/>
      <c r="BM857" s="66"/>
      <c r="BN857" s="66"/>
      <c r="BO857" s="66"/>
      <c r="BP857" s="66"/>
      <c r="BQ857" s="66"/>
      <c r="BR857" s="66"/>
      <c r="BS857" s="66"/>
      <c r="BT857" s="66"/>
      <c r="BU857" s="66"/>
      <c r="BV857" s="66"/>
      <c r="BW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6"/>
      <c r="BB858" s="66"/>
      <c r="BC858" s="66"/>
      <c r="BD858" s="66"/>
      <c r="BE858" s="66"/>
      <c r="BF858" s="66"/>
      <c r="BG858" s="66"/>
      <c r="BH858" s="66"/>
      <c r="BI858" s="66"/>
      <c r="BJ858" s="66"/>
      <c r="BK858" s="66"/>
      <c r="BL858" s="66"/>
      <c r="BM858" s="66"/>
      <c r="BN858" s="66"/>
      <c r="BO858" s="66"/>
      <c r="BP858" s="66"/>
      <c r="BQ858" s="66"/>
      <c r="BR858" s="66"/>
      <c r="BS858" s="66"/>
      <c r="BT858" s="66"/>
      <c r="BU858" s="66"/>
      <c r="BV858" s="66"/>
      <c r="BW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  <c r="BD859" s="66"/>
      <c r="BE859" s="66"/>
      <c r="BF859" s="66"/>
      <c r="BG859" s="66"/>
      <c r="BH859" s="66"/>
      <c r="BI859" s="66"/>
      <c r="BJ859" s="66"/>
      <c r="BK859" s="66"/>
      <c r="BL859" s="66"/>
      <c r="BM859" s="66"/>
      <c r="BN859" s="66"/>
      <c r="BO859" s="66"/>
      <c r="BP859" s="66"/>
      <c r="BQ859" s="66"/>
      <c r="BR859" s="66"/>
      <c r="BS859" s="66"/>
      <c r="BT859" s="66"/>
      <c r="BU859" s="66"/>
      <c r="BV859" s="66"/>
      <c r="BW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/>
      <c r="BJ860" s="66"/>
      <c r="BK860" s="66"/>
      <c r="BL860" s="66"/>
      <c r="BM860" s="66"/>
      <c r="BN860" s="66"/>
      <c r="BO860" s="66"/>
      <c r="BP860" s="66"/>
      <c r="BQ860" s="66"/>
      <c r="BR860" s="66"/>
      <c r="BS860" s="66"/>
      <c r="BT860" s="66"/>
      <c r="BU860" s="66"/>
      <c r="BV860" s="66"/>
      <c r="BW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  <c r="BD861" s="66"/>
      <c r="BE861" s="66"/>
      <c r="BF861" s="66"/>
      <c r="BG861" s="66"/>
      <c r="BH861" s="66"/>
      <c r="BI861" s="66"/>
      <c r="BJ861" s="66"/>
      <c r="BK861" s="66"/>
      <c r="BL861" s="66"/>
      <c r="BM861" s="66"/>
      <c r="BN861" s="66"/>
      <c r="BO861" s="66"/>
      <c r="BP861" s="66"/>
      <c r="BQ861" s="66"/>
      <c r="BR861" s="66"/>
      <c r="BS861" s="66"/>
      <c r="BT861" s="66"/>
      <c r="BU861" s="66"/>
      <c r="BV861" s="66"/>
      <c r="BW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  <c r="BC862" s="66"/>
      <c r="BD862" s="66"/>
      <c r="BE862" s="66"/>
      <c r="BF862" s="66"/>
      <c r="BG862" s="66"/>
      <c r="BH862" s="66"/>
      <c r="BI862" s="66"/>
      <c r="BJ862" s="66"/>
      <c r="BK862" s="66"/>
      <c r="BL862" s="66"/>
      <c r="BM862" s="66"/>
      <c r="BN862" s="66"/>
      <c r="BO862" s="66"/>
      <c r="BP862" s="66"/>
      <c r="BQ862" s="66"/>
      <c r="BR862" s="66"/>
      <c r="BS862" s="66"/>
      <c r="BT862" s="66"/>
      <c r="BU862" s="66"/>
      <c r="BV862" s="66"/>
      <c r="BW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66"/>
      <c r="AZ863" s="66"/>
      <c r="BA863" s="66"/>
      <c r="BB863" s="66"/>
      <c r="BC863" s="66"/>
      <c r="BD863" s="66"/>
      <c r="BE863" s="66"/>
      <c r="BF863" s="66"/>
      <c r="BG863" s="66"/>
      <c r="BH863" s="66"/>
      <c r="BI863" s="66"/>
      <c r="BJ863" s="66"/>
      <c r="BK863" s="66"/>
      <c r="BL863" s="66"/>
      <c r="BM863" s="66"/>
      <c r="BN863" s="66"/>
      <c r="BO863" s="66"/>
      <c r="BP863" s="66"/>
      <c r="BQ863" s="66"/>
      <c r="BR863" s="66"/>
      <c r="BS863" s="66"/>
      <c r="BT863" s="66"/>
      <c r="BU863" s="66"/>
      <c r="BV863" s="66"/>
      <c r="BW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66"/>
      <c r="AU864" s="66"/>
      <c r="AV864" s="66"/>
      <c r="AW864" s="66"/>
      <c r="AX864" s="66"/>
      <c r="AY864" s="66"/>
      <c r="AZ864" s="66"/>
      <c r="BA864" s="66"/>
      <c r="BB864" s="66"/>
      <c r="BC864" s="66"/>
      <c r="BD864" s="66"/>
      <c r="BE864" s="66"/>
      <c r="BF864" s="66"/>
      <c r="BG864" s="66"/>
      <c r="BH864" s="66"/>
      <c r="BI864" s="66"/>
      <c r="BJ864" s="66"/>
      <c r="BK864" s="66"/>
      <c r="BL864" s="66"/>
      <c r="BM864" s="66"/>
      <c r="BN864" s="66"/>
      <c r="BO864" s="66"/>
      <c r="BP864" s="66"/>
      <c r="BQ864" s="66"/>
      <c r="BR864" s="66"/>
      <c r="BS864" s="66"/>
      <c r="BT864" s="66"/>
      <c r="BU864" s="66"/>
      <c r="BV864" s="66"/>
      <c r="BW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66"/>
      <c r="AU865" s="66"/>
      <c r="AV865" s="66"/>
      <c r="AW865" s="66"/>
      <c r="AX865" s="66"/>
      <c r="AY865" s="66"/>
      <c r="AZ865" s="66"/>
      <c r="BA865" s="66"/>
      <c r="BB865" s="66"/>
      <c r="BC865" s="66"/>
      <c r="BD865" s="66"/>
      <c r="BE865" s="66"/>
      <c r="BF865" s="66"/>
      <c r="BG865" s="66"/>
      <c r="BH865" s="66"/>
      <c r="BI865" s="66"/>
      <c r="BJ865" s="66"/>
      <c r="BK865" s="66"/>
      <c r="BL865" s="66"/>
      <c r="BM865" s="66"/>
      <c r="BN865" s="66"/>
      <c r="BO865" s="66"/>
      <c r="BP865" s="66"/>
      <c r="BQ865" s="66"/>
      <c r="BR865" s="66"/>
      <c r="BS865" s="66"/>
      <c r="BT865" s="66"/>
      <c r="BU865" s="66"/>
      <c r="BV865" s="66"/>
      <c r="BW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  <c r="BD866" s="66"/>
      <c r="BE866" s="66"/>
      <c r="BF866" s="66"/>
      <c r="BG866" s="66"/>
      <c r="BH866" s="66"/>
      <c r="BI866" s="66"/>
      <c r="BJ866" s="66"/>
      <c r="BK866" s="66"/>
      <c r="BL866" s="66"/>
      <c r="BM866" s="66"/>
      <c r="BN866" s="66"/>
      <c r="BO866" s="66"/>
      <c r="BP866" s="66"/>
      <c r="BQ866" s="66"/>
      <c r="BR866" s="66"/>
      <c r="BS866" s="66"/>
      <c r="BT866" s="66"/>
      <c r="BU866" s="66"/>
      <c r="BV866" s="66"/>
      <c r="BW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6"/>
      <c r="BB867" s="66"/>
      <c r="BC867" s="66"/>
      <c r="BD867" s="66"/>
      <c r="BE867" s="66"/>
      <c r="BF867" s="66"/>
      <c r="BG867" s="66"/>
      <c r="BH867" s="66"/>
      <c r="BI867" s="66"/>
      <c r="BJ867" s="66"/>
      <c r="BK867" s="66"/>
      <c r="BL867" s="66"/>
      <c r="BM867" s="66"/>
      <c r="BN867" s="66"/>
      <c r="BO867" s="66"/>
      <c r="BP867" s="66"/>
      <c r="BQ867" s="66"/>
      <c r="BR867" s="66"/>
      <c r="BS867" s="66"/>
      <c r="BT867" s="66"/>
      <c r="BU867" s="66"/>
      <c r="BV867" s="66"/>
      <c r="BW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/>
      <c r="BJ868" s="66"/>
      <c r="BK868" s="66"/>
      <c r="BL868" s="66"/>
      <c r="BM868" s="66"/>
      <c r="BN868" s="66"/>
      <c r="BO868" s="66"/>
      <c r="BP868" s="66"/>
      <c r="BQ868" s="66"/>
      <c r="BR868" s="66"/>
      <c r="BS868" s="66"/>
      <c r="BT868" s="66"/>
      <c r="BU868" s="66"/>
      <c r="BV868" s="66"/>
      <c r="BW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66"/>
      <c r="AZ869" s="66"/>
      <c r="BA869" s="66"/>
      <c r="BB869" s="66"/>
      <c r="BC869" s="66"/>
      <c r="BD869" s="66"/>
      <c r="BE869" s="66"/>
      <c r="BF869" s="66"/>
      <c r="BG869" s="66"/>
      <c r="BH869" s="66"/>
      <c r="BI869" s="66"/>
      <c r="BJ869" s="66"/>
      <c r="BK869" s="66"/>
      <c r="BL869" s="66"/>
      <c r="BM869" s="66"/>
      <c r="BN869" s="66"/>
      <c r="BO869" s="66"/>
      <c r="BP869" s="66"/>
      <c r="BQ869" s="66"/>
      <c r="BR869" s="66"/>
      <c r="BS869" s="66"/>
      <c r="BT869" s="66"/>
      <c r="BU869" s="66"/>
      <c r="BV869" s="66"/>
      <c r="BW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/>
      <c r="BJ870" s="66"/>
      <c r="BK870" s="66"/>
      <c r="BL870" s="66"/>
      <c r="BM870" s="66"/>
      <c r="BN870" s="66"/>
      <c r="BO870" s="66"/>
      <c r="BP870" s="66"/>
      <c r="BQ870" s="66"/>
      <c r="BR870" s="66"/>
      <c r="BS870" s="66"/>
      <c r="BT870" s="66"/>
      <c r="BU870" s="66"/>
      <c r="BV870" s="66"/>
      <c r="BW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  <c r="BD871" s="66"/>
      <c r="BE871" s="66"/>
      <c r="BF871" s="66"/>
      <c r="BG871" s="66"/>
      <c r="BH871" s="66"/>
      <c r="BI871" s="66"/>
      <c r="BJ871" s="66"/>
      <c r="BK871" s="66"/>
      <c r="BL871" s="66"/>
      <c r="BM871" s="66"/>
      <c r="BN871" s="66"/>
      <c r="BO871" s="66"/>
      <c r="BP871" s="66"/>
      <c r="BQ871" s="66"/>
      <c r="BR871" s="66"/>
      <c r="BS871" s="66"/>
      <c r="BT871" s="66"/>
      <c r="BU871" s="66"/>
      <c r="BV871" s="66"/>
      <c r="BW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/>
      <c r="BJ872" s="66"/>
      <c r="BK872" s="66"/>
      <c r="BL872" s="66"/>
      <c r="BM872" s="66"/>
      <c r="BN872" s="66"/>
      <c r="BO872" s="66"/>
      <c r="BP872" s="66"/>
      <c r="BQ872" s="66"/>
      <c r="BR872" s="66"/>
      <c r="BS872" s="66"/>
      <c r="BT872" s="66"/>
      <c r="BU872" s="66"/>
      <c r="BV872" s="66"/>
      <c r="BW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/>
      <c r="BJ873" s="66"/>
      <c r="BK873" s="66"/>
      <c r="BL873" s="66"/>
      <c r="BM873" s="66"/>
      <c r="BN873" s="66"/>
      <c r="BO873" s="66"/>
      <c r="BP873" s="66"/>
      <c r="BQ873" s="66"/>
      <c r="BR873" s="66"/>
      <c r="BS873" s="66"/>
      <c r="BT873" s="66"/>
      <c r="BU873" s="66"/>
      <c r="BV873" s="66"/>
      <c r="BW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/>
      <c r="BJ874" s="66"/>
      <c r="BK874" s="66"/>
      <c r="BL874" s="66"/>
      <c r="BM874" s="66"/>
      <c r="BN874" s="66"/>
      <c r="BO874" s="66"/>
      <c r="BP874" s="66"/>
      <c r="BQ874" s="66"/>
      <c r="BR874" s="66"/>
      <c r="BS874" s="66"/>
      <c r="BT874" s="66"/>
      <c r="BU874" s="66"/>
      <c r="BV874" s="66"/>
      <c r="BW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  <c r="BD875" s="66"/>
      <c r="BE875" s="66"/>
      <c r="BF875" s="66"/>
      <c r="BG875" s="66"/>
      <c r="BH875" s="66"/>
      <c r="BI875" s="66"/>
      <c r="BJ875" s="66"/>
      <c r="BK875" s="66"/>
      <c r="BL875" s="66"/>
      <c r="BM875" s="66"/>
      <c r="BN875" s="66"/>
      <c r="BO875" s="66"/>
      <c r="BP875" s="66"/>
      <c r="BQ875" s="66"/>
      <c r="BR875" s="66"/>
      <c r="BS875" s="66"/>
      <c r="BT875" s="66"/>
      <c r="BU875" s="66"/>
      <c r="BV875" s="66"/>
      <c r="BW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  <c r="BD876" s="66"/>
      <c r="BE876" s="66"/>
      <c r="BF876" s="66"/>
      <c r="BG876" s="66"/>
      <c r="BH876" s="66"/>
      <c r="BI876" s="66"/>
      <c r="BJ876" s="66"/>
      <c r="BK876" s="66"/>
      <c r="BL876" s="66"/>
      <c r="BM876" s="66"/>
      <c r="BN876" s="66"/>
      <c r="BO876" s="66"/>
      <c r="BP876" s="66"/>
      <c r="BQ876" s="66"/>
      <c r="BR876" s="66"/>
      <c r="BS876" s="66"/>
      <c r="BT876" s="66"/>
      <c r="BU876" s="66"/>
      <c r="BV876" s="66"/>
      <c r="BW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  <c r="BD877" s="66"/>
      <c r="BE877" s="66"/>
      <c r="BF877" s="66"/>
      <c r="BG877" s="66"/>
      <c r="BH877" s="66"/>
      <c r="BI877" s="66"/>
      <c r="BJ877" s="66"/>
      <c r="BK877" s="66"/>
      <c r="BL877" s="66"/>
      <c r="BM877" s="66"/>
      <c r="BN877" s="66"/>
      <c r="BO877" s="66"/>
      <c r="BP877" s="66"/>
      <c r="BQ877" s="66"/>
      <c r="BR877" s="66"/>
      <c r="BS877" s="66"/>
      <c r="BT877" s="66"/>
      <c r="BU877" s="66"/>
      <c r="BV877" s="66"/>
      <c r="BW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/>
      <c r="BJ878" s="66"/>
      <c r="BK878" s="66"/>
      <c r="BL878" s="66"/>
      <c r="BM878" s="66"/>
      <c r="BN878" s="66"/>
      <c r="BO878" s="66"/>
      <c r="BP878" s="66"/>
      <c r="BQ878" s="66"/>
      <c r="BR878" s="66"/>
      <c r="BS878" s="66"/>
      <c r="BT878" s="66"/>
      <c r="BU878" s="66"/>
      <c r="BV878" s="66"/>
      <c r="BW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  <c r="BD879" s="66"/>
      <c r="BE879" s="66"/>
      <c r="BF879" s="66"/>
      <c r="BG879" s="66"/>
      <c r="BH879" s="66"/>
      <c r="BI879" s="66"/>
      <c r="BJ879" s="66"/>
      <c r="BK879" s="66"/>
      <c r="BL879" s="66"/>
      <c r="BM879" s="66"/>
      <c r="BN879" s="66"/>
      <c r="BO879" s="66"/>
      <c r="BP879" s="66"/>
      <c r="BQ879" s="66"/>
      <c r="BR879" s="66"/>
      <c r="BS879" s="66"/>
      <c r="BT879" s="66"/>
      <c r="BU879" s="66"/>
      <c r="BV879" s="66"/>
      <c r="BW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/>
      <c r="BJ880" s="66"/>
      <c r="BK880" s="66"/>
      <c r="BL880" s="66"/>
      <c r="BM880" s="66"/>
      <c r="BN880" s="66"/>
      <c r="BO880" s="66"/>
      <c r="BP880" s="66"/>
      <c r="BQ880" s="66"/>
      <c r="BR880" s="66"/>
      <c r="BS880" s="66"/>
      <c r="BT880" s="66"/>
      <c r="BU880" s="66"/>
      <c r="BV880" s="66"/>
      <c r="BW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66"/>
      <c r="AU881" s="66"/>
      <c r="AV881" s="66"/>
      <c r="AW881" s="66"/>
      <c r="AX881" s="66"/>
      <c r="AY881" s="66"/>
      <c r="AZ881" s="66"/>
      <c r="BA881" s="66"/>
      <c r="BB881" s="66"/>
      <c r="BC881" s="66"/>
      <c r="BD881" s="66"/>
      <c r="BE881" s="66"/>
      <c r="BF881" s="66"/>
      <c r="BG881" s="66"/>
      <c r="BH881" s="66"/>
      <c r="BI881" s="66"/>
      <c r="BJ881" s="66"/>
      <c r="BK881" s="66"/>
      <c r="BL881" s="66"/>
      <c r="BM881" s="66"/>
      <c r="BN881" s="66"/>
      <c r="BO881" s="66"/>
      <c r="BP881" s="66"/>
      <c r="BQ881" s="66"/>
      <c r="BR881" s="66"/>
      <c r="BS881" s="66"/>
      <c r="BT881" s="66"/>
      <c r="BU881" s="66"/>
      <c r="BV881" s="66"/>
      <c r="BW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66"/>
      <c r="AU882" s="66"/>
      <c r="AV882" s="66"/>
      <c r="AW882" s="66"/>
      <c r="AX882" s="66"/>
      <c r="AY882" s="66"/>
      <c r="AZ882" s="66"/>
      <c r="BA882" s="66"/>
      <c r="BB882" s="66"/>
      <c r="BC882" s="66"/>
      <c r="BD882" s="66"/>
      <c r="BE882" s="66"/>
      <c r="BF882" s="66"/>
      <c r="BG882" s="66"/>
      <c r="BH882" s="66"/>
      <c r="BI882" s="66"/>
      <c r="BJ882" s="66"/>
      <c r="BK882" s="66"/>
      <c r="BL882" s="66"/>
      <c r="BM882" s="66"/>
      <c r="BN882" s="66"/>
      <c r="BO882" s="66"/>
      <c r="BP882" s="66"/>
      <c r="BQ882" s="66"/>
      <c r="BR882" s="66"/>
      <c r="BS882" s="66"/>
      <c r="BT882" s="66"/>
      <c r="BU882" s="66"/>
      <c r="BV882" s="66"/>
      <c r="BW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66"/>
      <c r="AU883" s="66"/>
      <c r="AV883" s="66"/>
      <c r="AW883" s="66"/>
      <c r="AX883" s="66"/>
      <c r="AY883" s="66"/>
      <c r="AZ883" s="66"/>
      <c r="BA883" s="66"/>
      <c r="BB883" s="66"/>
      <c r="BC883" s="66"/>
      <c r="BD883" s="66"/>
      <c r="BE883" s="66"/>
      <c r="BF883" s="66"/>
      <c r="BG883" s="66"/>
      <c r="BH883" s="66"/>
      <c r="BI883" s="66"/>
      <c r="BJ883" s="66"/>
      <c r="BK883" s="66"/>
      <c r="BL883" s="66"/>
      <c r="BM883" s="66"/>
      <c r="BN883" s="66"/>
      <c r="BO883" s="66"/>
      <c r="BP883" s="66"/>
      <c r="BQ883" s="66"/>
      <c r="BR883" s="66"/>
      <c r="BS883" s="66"/>
      <c r="BT883" s="66"/>
      <c r="BU883" s="66"/>
      <c r="BV883" s="66"/>
      <c r="BW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66"/>
      <c r="AU884" s="66"/>
      <c r="AV884" s="66"/>
      <c r="AW884" s="66"/>
      <c r="AX884" s="66"/>
      <c r="AY884" s="66"/>
      <c r="AZ884" s="66"/>
      <c r="BA884" s="66"/>
      <c r="BB884" s="66"/>
      <c r="BC884" s="66"/>
      <c r="BD884" s="66"/>
      <c r="BE884" s="66"/>
      <c r="BF884" s="66"/>
      <c r="BG884" s="66"/>
      <c r="BH884" s="66"/>
      <c r="BI884" s="66"/>
      <c r="BJ884" s="66"/>
      <c r="BK884" s="66"/>
      <c r="BL884" s="66"/>
      <c r="BM884" s="66"/>
      <c r="BN884" s="66"/>
      <c r="BO884" s="66"/>
      <c r="BP884" s="66"/>
      <c r="BQ884" s="66"/>
      <c r="BR884" s="66"/>
      <c r="BS884" s="66"/>
      <c r="BT884" s="66"/>
      <c r="BU884" s="66"/>
      <c r="BV884" s="66"/>
      <c r="BW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/>
      <c r="BJ885" s="66"/>
      <c r="BK885" s="66"/>
      <c r="BL885" s="66"/>
      <c r="BM885" s="66"/>
      <c r="BN885" s="66"/>
      <c r="BO885" s="66"/>
      <c r="BP885" s="66"/>
      <c r="BQ885" s="66"/>
      <c r="BR885" s="66"/>
      <c r="BS885" s="66"/>
      <c r="BT885" s="66"/>
      <c r="BU885" s="66"/>
      <c r="BV885" s="66"/>
      <c r="BW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66"/>
      <c r="AU886" s="66"/>
      <c r="AV886" s="66"/>
      <c r="AW886" s="66"/>
      <c r="AX886" s="66"/>
      <c r="AY886" s="66"/>
      <c r="AZ886" s="66"/>
      <c r="BA886" s="66"/>
      <c r="BB886" s="66"/>
      <c r="BC886" s="66"/>
      <c r="BD886" s="66"/>
      <c r="BE886" s="66"/>
      <c r="BF886" s="66"/>
      <c r="BG886" s="66"/>
      <c r="BH886" s="66"/>
      <c r="BI886" s="66"/>
      <c r="BJ886" s="66"/>
      <c r="BK886" s="66"/>
      <c r="BL886" s="66"/>
      <c r="BM886" s="66"/>
      <c r="BN886" s="66"/>
      <c r="BO886" s="66"/>
      <c r="BP886" s="66"/>
      <c r="BQ886" s="66"/>
      <c r="BR886" s="66"/>
      <c r="BS886" s="66"/>
      <c r="BT886" s="66"/>
      <c r="BU886" s="66"/>
      <c r="BV886" s="66"/>
      <c r="BW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66"/>
      <c r="AU887" s="66"/>
      <c r="AV887" s="66"/>
      <c r="AW887" s="66"/>
      <c r="AX887" s="66"/>
      <c r="AY887" s="66"/>
      <c r="AZ887" s="66"/>
      <c r="BA887" s="66"/>
      <c r="BB887" s="66"/>
      <c r="BC887" s="66"/>
      <c r="BD887" s="66"/>
      <c r="BE887" s="66"/>
      <c r="BF887" s="66"/>
      <c r="BG887" s="66"/>
      <c r="BH887" s="66"/>
      <c r="BI887" s="66"/>
      <c r="BJ887" s="66"/>
      <c r="BK887" s="66"/>
      <c r="BL887" s="66"/>
      <c r="BM887" s="66"/>
      <c r="BN887" s="66"/>
      <c r="BO887" s="66"/>
      <c r="BP887" s="66"/>
      <c r="BQ887" s="66"/>
      <c r="BR887" s="66"/>
      <c r="BS887" s="66"/>
      <c r="BT887" s="66"/>
      <c r="BU887" s="66"/>
      <c r="BV887" s="66"/>
      <c r="BW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66"/>
      <c r="AZ888" s="66"/>
      <c r="BA888" s="66"/>
      <c r="BB888" s="66"/>
      <c r="BC888" s="66"/>
      <c r="BD888" s="66"/>
      <c r="BE888" s="66"/>
      <c r="BF888" s="66"/>
      <c r="BG888" s="66"/>
      <c r="BH888" s="66"/>
      <c r="BI888" s="66"/>
      <c r="BJ888" s="66"/>
      <c r="BK888" s="66"/>
      <c r="BL888" s="66"/>
      <c r="BM888" s="66"/>
      <c r="BN888" s="66"/>
      <c r="BO888" s="66"/>
      <c r="BP888" s="66"/>
      <c r="BQ888" s="66"/>
      <c r="BR888" s="66"/>
      <c r="BS888" s="66"/>
      <c r="BT888" s="66"/>
      <c r="BU888" s="66"/>
      <c r="BV888" s="66"/>
      <c r="BW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  <c r="AS889" s="66"/>
      <c r="AT889" s="66"/>
      <c r="AU889" s="66"/>
      <c r="AV889" s="66"/>
      <c r="AW889" s="66"/>
      <c r="AX889" s="66"/>
      <c r="AY889" s="66"/>
      <c r="AZ889" s="66"/>
      <c r="BA889" s="66"/>
      <c r="BB889" s="66"/>
      <c r="BC889" s="66"/>
      <c r="BD889" s="66"/>
      <c r="BE889" s="66"/>
      <c r="BF889" s="66"/>
      <c r="BG889" s="66"/>
      <c r="BH889" s="66"/>
      <c r="BI889" s="66"/>
      <c r="BJ889" s="66"/>
      <c r="BK889" s="66"/>
      <c r="BL889" s="66"/>
      <c r="BM889" s="66"/>
      <c r="BN889" s="66"/>
      <c r="BO889" s="66"/>
      <c r="BP889" s="66"/>
      <c r="BQ889" s="66"/>
      <c r="BR889" s="66"/>
      <c r="BS889" s="66"/>
      <c r="BT889" s="66"/>
      <c r="BU889" s="66"/>
      <c r="BV889" s="66"/>
      <c r="BW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66"/>
      <c r="AU890" s="66"/>
      <c r="AV890" s="66"/>
      <c r="AW890" s="66"/>
      <c r="AX890" s="66"/>
      <c r="AY890" s="66"/>
      <c r="AZ890" s="66"/>
      <c r="BA890" s="66"/>
      <c r="BB890" s="66"/>
      <c r="BC890" s="66"/>
      <c r="BD890" s="66"/>
      <c r="BE890" s="66"/>
      <c r="BF890" s="66"/>
      <c r="BG890" s="66"/>
      <c r="BH890" s="66"/>
      <c r="BI890" s="66"/>
      <c r="BJ890" s="66"/>
      <c r="BK890" s="66"/>
      <c r="BL890" s="66"/>
      <c r="BM890" s="66"/>
      <c r="BN890" s="66"/>
      <c r="BO890" s="66"/>
      <c r="BP890" s="66"/>
      <c r="BQ890" s="66"/>
      <c r="BR890" s="66"/>
      <c r="BS890" s="66"/>
      <c r="BT890" s="66"/>
      <c r="BU890" s="66"/>
      <c r="BV890" s="66"/>
      <c r="BW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66"/>
      <c r="AU891" s="66"/>
      <c r="AV891" s="66"/>
      <c r="AW891" s="66"/>
      <c r="AX891" s="66"/>
      <c r="AY891" s="66"/>
      <c r="AZ891" s="66"/>
      <c r="BA891" s="66"/>
      <c r="BB891" s="66"/>
      <c r="BC891" s="66"/>
      <c r="BD891" s="66"/>
      <c r="BE891" s="66"/>
      <c r="BF891" s="66"/>
      <c r="BG891" s="66"/>
      <c r="BH891" s="66"/>
      <c r="BI891" s="66"/>
      <c r="BJ891" s="66"/>
      <c r="BK891" s="66"/>
      <c r="BL891" s="66"/>
      <c r="BM891" s="66"/>
      <c r="BN891" s="66"/>
      <c r="BO891" s="66"/>
      <c r="BP891" s="66"/>
      <c r="BQ891" s="66"/>
      <c r="BR891" s="66"/>
      <c r="BS891" s="66"/>
      <c r="BT891" s="66"/>
      <c r="BU891" s="66"/>
      <c r="BV891" s="66"/>
      <c r="BW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66"/>
      <c r="AU892" s="66"/>
      <c r="AV892" s="66"/>
      <c r="AW892" s="66"/>
      <c r="AX892" s="66"/>
      <c r="AY892" s="66"/>
      <c r="AZ892" s="66"/>
      <c r="BA892" s="66"/>
      <c r="BB892" s="66"/>
      <c r="BC892" s="66"/>
      <c r="BD892" s="66"/>
      <c r="BE892" s="66"/>
      <c r="BF892" s="66"/>
      <c r="BG892" s="66"/>
      <c r="BH892" s="66"/>
      <c r="BI892" s="66"/>
      <c r="BJ892" s="66"/>
      <c r="BK892" s="66"/>
      <c r="BL892" s="66"/>
      <c r="BM892" s="66"/>
      <c r="BN892" s="66"/>
      <c r="BO892" s="66"/>
      <c r="BP892" s="66"/>
      <c r="BQ892" s="66"/>
      <c r="BR892" s="66"/>
      <c r="BS892" s="66"/>
      <c r="BT892" s="66"/>
      <c r="BU892" s="66"/>
      <c r="BV892" s="66"/>
      <c r="BW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66"/>
      <c r="AU893" s="66"/>
      <c r="AV893" s="66"/>
      <c r="AW893" s="66"/>
      <c r="AX893" s="66"/>
      <c r="AY893" s="66"/>
      <c r="AZ893" s="66"/>
      <c r="BA893" s="66"/>
      <c r="BB893" s="66"/>
      <c r="BC893" s="66"/>
      <c r="BD893" s="66"/>
      <c r="BE893" s="66"/>
      <c r="BF893" s="66"/>
      <c r="BG893" s="66"/>
      <c r="BH893" s="66"/>
      <c r="BI893" s="66"/>
      <c r="BJ893" s="66"/>
      <c r="BK893" s="66"/>
      <c r="BL893" s="66"/>
      <c r="BM893" s="66"/>
      <c r="BN893" s="66"/>
      <c r="BO893" s="66"/>
      <c r="BP893" s="66"/>
      <c r="BQ893" s="66"/>
      <c r="BR893" s="66"/>
      <c r="BS893" s="66"/>
      <c r="BT893" s="66"/>
      <c r="BU893" s="66"/>
      <c r="BV893" s="66"/>
      <c r="BW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66"/>
      <c r="AZ894" s="66"/>
      <c r="BA894" s="66"/>
      <c r="BB894" s="66"/>
      <c r="BC894" s="66"/>
      <c r="BD894" s="66"/>
      <c r="BE894" s="66"/>
      <c r="BF894" s="66"/>
      <c r="BG894" s="66"/>
      <c r="BH894" s="66"/>
      <c r="BI894" s="66"/>
      <c r="BJ894" s="66"/>
      <c r="BK894" s="66"/>
      <c r="BL894" s="66"/>
      <c r="BM894" s="66"/>
      <c r="BN894" s="66"/>
      <c r="BO894" s="66"/>
      <c r="BP894" s="66"/>
      <c r="BQ894" s="66"/>
      <c r="BR894" s="66"/>
      <c r="BS894" s="66"/>
      <c r="BT894" s="66"/>
      <c r="BU894" s="66"/>
      <c r="BV894" s="66"/>
      <c r="BW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66"/>
      <c r="AU895" s="66"/>
      <c r="AV895" s="66"/>
      <c r="AW895" s="66"/>
      <c r="AX895" s="66"/>
      <c r="AY895" s="66"/>
      <c r="AZ895" s="66"/>
      <c r="BA895" s="66"/>
      <c r="BB895" s="66"/>
      <c r="BC895" s="66"/>
      <c r="BD895" s="66"/>
      <c r="BE895" s="66"/>
      <c r="BF895" s="66"/>
      <c r="BG895" s="66"/>
      <c r="BH895" s="66"/>
      <c r="BI895" s="66"/>
      <c r="BJ895" s="66"/>
      <c r="BK895" s="66"/>
      <c r="BL895" s="66"/>
      <c r="BM895" s="66"/>
      <c r="BN895" s="66"/>
      <c r="BO895" s="66"/>
      <c r="BP895" s="66"/>
      <c r="BQ895" s="66"/>
      <c r="BR895" s="66"/>
      <c r="BS895" s="66"/>
      <c r="BT895" s="66"/>
      <c r="BU895" s="66"/>
      <c r="BV895" s="66"/>
      <c r="BW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  <c r="BD896" s="66"/>
      <c r="BE896" s="66"/>
      <c r="BF896" s="66"/>
      <c r="BG896" s="66"/>
      <c r="BH896" s="66"/>
      <c r="BI896" s="66"/>
      <c r="BJ896" s="66"/>
      <c r="BK896" s="66"/>
      <c r="BL896" s="66"/>
      <c r="BM896" s="66"/>
      <c r="BN896" s="66"/>
      <c r="BO896" s="66"/>
      <c r="BP896" s="66"/>
      <c r="BQ896" s="66"/>
      <c r="BR896" s="66"/>
      <c r="BS896" s="66"/>
      <c r="BT896" s="66"/>
      <c r="BU896" s="66"/>
      <c r="BV896" s="66"/>
      <c r="BW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/>
      <c r="BJ897" s="66"/>
      <c r="BK897" s="66"/>
      <c r="BL897" s="66"/>
      <c r="BM897" s="66"/>
      <c r="BN897" s="66"/>
      <c r="BO897" s="66"/>
      <c r="BP897" s="66"/>
      <c r="BQ897" s="66"/>
      <c r="BR897" s="66"/>
      <c r="BS897" s="66"/>
      <c r="BT897" s="66"/>
      <c r="BU897" s="66"/>
      <c r="BV897" s="66"/>
      <c r="BW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  <c r="BD898" s="66"/>
      <c r="BE898" s="66"/>
      <c r="BF898" s="66"/>
      <c r="BG898" s="66"/>
      <c r="BH898" s="66"/>
      <c r="BI898" s="66"/>
      <c r="BJ898" s="66"/>
      <c r="BK898" s="66"/>
      <c r="BL898" s="66"/>
      <c r="BM898" s="66"/>
      <c r="BN898" s="66"/>
      <c r="BO898" s="66"/>
      <c r="BP898" s="66"/>
      <c r="BQ898" s="66"/>
      <c r="BR898" s="66"/>
      <c r="BS898" s="66"/>
      <c r="BT898" s="66"/>
      <c r="BU898" s="66"/>
      <c r="BV898" s="66"/>
      <c r="BW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/>
      <c r="BJ899" s="66"/>
      <c r="BK899" s="66"/>
      <c r="BL899" s="66"/>
      <c r="BM899" s="66"/>
      <c r="BN899" s="66"/>
      <c r="BO899" s="66"/>
      <c r="BP899" s="66"/>
      <c r="BQ899" s="66"/>
      <c r="BR899" s="66"/>
      <c r="BS899" s="66"/>
      <c r="BT899" s="66"/>
      <c r="BU899" s="66"/>
      <c r="BV899" s="66"/>
      <c r="BW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66"/>
      <c r="AU900" s="66"/>
      <c r="AV900" s="66"/>
      <c r="AW900" s="66"/>
      <c r="AX900" s="66"/>
      <c r="AY900" s="66"/>
      <c r="AZ900" s="66"/>
      <c r="BA900" s="66"/>
      <c r="BB900" s="66"/>
      <c r="BC900" s="66"/>
      <c r="BD900" s="66"/>
      <c r="BE900" s="66"/>
      <c r="BF900" s="66"/>
      <c r="BG900" s="66"/>
      <c r="BH900" s="66"/>
      <c r="BI900" s="66"/>
      <c r="BJ900" s="66"/>
      <c r="BK900" s="66"/>
      <c r="BL900" s="66"/>
      <c r="BM900" s="66"/>
      <c r="BN900" s="66"/>
      <c r="BO900" s="66"/>
      <c r="BP900" s="66"/>
      <c r="BQ900" s="66"/>
      <c r="BR900" s="66"/>
      <c r="BS900" s="66"/>
      <c r="BT900" s="66"/>
      <c r="BU900" s="66"/>
      <c r="BV900" s="66"/>
      <c r="BW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66"/>
      <c r="AU901" s="66"/>
      <c r="AV901" s="66"/>
      <c r="AW901" s="66"/>
      <c r="AX901" s="66"/>
      <c r="AY901" s="66"/>
      <c r="AZ901" s="66"/>
      <c r="BA901" s="66"/>
      <c r="BB901" s="66"/>
      <c r="BC901" s="66"/>
      <c r="BD901" s="66"/>
      <c r="BE901" s="66"/>
      <c r="BF901" s="66"/>
      <c r="BG901" s="66"/>
      <c r="BH901" s="66"/>
      <c r="BI901" s="66"/>
      <c r="BJ901" s="66"/>
      <c r="BK901" s="66"/>
      <c r="BL901" s="66"/>
      <c r="BM901" s="66"/>
      <c r="BN901" s="66"/>
      <c r="BO901" s="66"/>
      <c r="BP901" s="66"/>
      <c r="BQ901" s="66"/>
      <c r="BR901" s="66"/>
      <c r="BS901" s="66"/>
      <c r="BT901" s="66"/>
      <c r="BU901" s="66"/>
      <c r="BV901" s="66"/>
      <c r="BW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66"/>
      <c r="AZ902" s="66"/>
      <c r="BA902" s="66"/>
      <c r="BB902" s="66"/>
      <c r="BC902" s="66"/>
      <c r="BD902" s="66"/>
      <c r="BE902" s="66"/>
      <c r="BF902" s="66"/>
      <c r="BG902" s="66"/>
      <c r="BH902" s="66"/>
      <c r="BI902" s="66"/>
      <c r="BJ902" s="66"/>
      <c r="BK902" s="66"/>
      <c r="BL902" s="66"/>
      <c r="BM902" s="66"/>
      <c r="BN902" s="66"/>
      <c r="BO902" s="66"/>
      <c r="BP902" s="66"/>
      <c r="BQ902" s="66"/>
      <c r="BR902" s="66"/>
      <c r="BS902" s="66"/>
      <c r="BT902" s="66"/>
      <c r="BU902" s="66"/>
      <c r="BV902" s="66"/>
      <c r="BW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66"/>
      <c r="AU903" s="66"/>
      <c r="AV903" s="66"/>
      <c r="AW903" s="66"/>
      <c r="AX903" s="66"/>
      <c r="AY903" s="66"/>
      <c r="AZ903" s="66"/>
      <c r="BA903" s="66"/>
      <c r="BB903" s="66"/>
      <c r="BC903" s="66"/>
      <c r="BD903" s="66"/>
      <c r="BE903" s="66"/>
      <c r="BF903" s="66"/>
      <c r="BG903" s="66"/>
      <c r="BH903" s="66"/>
      <c r="BI903" s="66"/>
      <c r="BJ903" s="66"/>
      <c r="BK903" s="66"/>
      <c r="BL903" s="66"/>
      <c r="BM903" s="66"/>
      <c r="BN903" s="66"/>
      <c r="BO903" s="66"/>
      <c r="BP903" s="66"/>
      <c r="BQ903" s="66"/>
      <c r="BR903" s="66"/>
      <c r="BS903" s="66"/>
      <c r="BT903" s="66"/>
      <c r="BU903" s="66"/>
      <c r="BV903" s="66"/>
      <c r="BW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66"/>
      <c r="AU904" s="66"/>
      <c r="AV904" s="66"/>
      <c r="AW904" s="66"/>
      <c r="AX904" s="66"/>
      <c r="AY904" s="66"/>
      <c r="AZ904" s="66"/>
      <c r="BA904" s="66"/>
      <c r="BB904" s="66"/>
      <c r="BC904" s="66"/>
      <c r="BD904" s="66"/>
      <c r="BE904" s="66"/>
      <c r="BF904" s="66"/>
      <c r="BG904" s="66"/>
      <c r="BH904" s="66"/>
      <c r="BI904" s="66"/>
      <c r="BJ904" s="66"/>
      <c r="BK904" s="66"/>
      <c r="BL904" s="66"/>
      <c r="BM904" s="66"/>
      <c r="BN904" s="66"/>
      <c r="BO904" s="66"/>
      <c r="BP904" s="66"/>
      <c r="BQ904" s="66"/>
      <c r="BR904" s="66"/>
      <c r="BS904" s="66"/>
      <c r="BT904" s="66"/>
      <c r="BU904" s="66"/>
      <c r="BV904" s="66"/>
      <c r="BW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66"/>
      <c r="AU905" s="66"/>
      <c r="AV905" s="66"/>
      <c r="AW905" s="66"/>
      <c r="AX905" s="66"/>
      <c r="AY905" s="66"/>
      <c r="AZ905" s="66"/>
      <c r="BA905" s="66"/>
      <c r="BB905" s="66"/>
      <c r="BC905" s="66"/>
      <c r="BD905" s="66"/>
      <c r="BE905" s="66"/>
      <c r="BF905" s="66"/>
      <c r="BG905" s="66"/>
      <c r="BH905" s="66"/>
      <c r="BI905" s="66"/>
      <c r="BJ905" s="66"/>
      <c r="BK905" s="66"/>
      <c r="BL905" s="66"/>
      <c r="BM905" s="66"/>
      <c r="BN905" s="66"/>
      <c r="BO905" s="66"/>
      <c r="BP905" s="66"/>
      <c r="BQ905" s="66"/>
      <c r="BR905" s="66"/>
      <c r="BS905" s="66"/>
      <c r="BT905" s="66"/>
      <c r="BU905" s="66"/>
      <c r="BV905" s="66"/>
      <c r="BW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66"/>
      <c r="AU906" s="66"/>
      <c r="AV906" s="66"/>
      <c r="AW906" s="66"/>
      <c r="AX906" s="66"/>
      <c r="AY906" s="66"/>
      <c r="AZ906" s="66"/>
      <c r="BA906" s="66"/>
      <c r="BB906" s="66"/>
      <c r="BC906" s="66"/>
      <c r="BD906" s="66"/>
      <c r="BE906" s="66"/>
      <c r="BF906" s="66"/>
      <c r="BG906" s="66"/>
      <c r="BH906" s="66"/>
      <c r="BI906" s="66"/>
      <c r="BJ906" s="66"/>
      <c r="BK906" s="66"/>
      <c r="BL906" s="66"/>
      <c r="BM906" s="66"/>
      <c r="BN906" s="66"/>
      <c r="BO906" s="66"/>
      <c r="BP906" s="66"/>
      <c r="BQ906" s="66"/>
      <c r="BR906" s="66"/>
      <c r="BS906" s="66"/>
      <c r="BT906" s="66"/>
      <c r="BU906" s="66"/>
      <c r="BV906" s="66"/>
      <c r="BW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66"/>
      <c r="AU907" s="66"/>
      <c r="AV907" s="66"/>
      <c r="AW907" s="66"/>
      <c r="AX907" s="66"/>
      <c r="AY907" s="66"/>
      <c r="AZ907" s="66"/>
      <c r="BA907" s="66"/>
      <c r="BB907" s="66"/>
      <c r="BC907" s="66"/>
      <c r="BD907" s="66"/>
      <c r="BE907" s="66"/>
      <c r="BF907" s="66"/>
      <c r="BG907" s="66"/>
      <c r="BH907" s="66"/>
      <c r="BI907" s="66"/>
      <c r="BJ907" s="66"/>
      <c r="BK907" s="66"/>
      <c r="BL907" s="66"/>
      <c r="BM907" s="66"/>
      <c r="BN907" s="66"/>
      <c r="BO907" s="66"/>
      <c r="BP907" s="66"/>
      <c r="BQ907" s="66"/>
      <c r="BR907" s="66"/>
      <c r="BS907" s="66"/>
      <c r="BT907" s="66"/>
      <c r="BU907" s="66"/>
      <c r="BV907" s="66"/>
      <c r="BW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  <c r="AS908" s="66"/>
      <c r="AT908" s="66"/>
      <c r="AU908" s="66"/>
      <c r="AV908" s="66"/>
      <c r="AW908" s="66"/>
      <c r="AX908" s="66"/>
      <c r="AY908" s="66"/>
      <c r="AZ908" s="66"/>
      <c r="BA908" s="66"/>
      <c r="BB908" s="66"/>
      <c r="BC908" s="66"/>
      <c r="BD908" s="66"/>
      <c r="BE908" s="66"/>
      <c r="BF908" s="66"/>
      <c r="BG908" s="66"/>
      <c r="BH908" s="66"/>
      <c r="BI908" s="66"/>
      <c r="BJ908" s="66"/>
      <c r="BK908" s="66"/>
      <c r="BL908" s="66"/>
      <c r="BM908" s="66"/>
      <c r="BN908" s="66"/>
      <c r="BO908" s="66"/>
      <c r="BP908" s="66"/>
      <c r="BQ908" s="66"/>
      <c r="BR908" s="66"/>
      <c r="BS908" s="66"/>
      <c r="BT908" s="66"/>
      <c r="BU908" s="66"/>
      <c r="BV908" s="66"/>
      <c r="BW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66"/>
      <c r="AU909" s="66"/>
      <c r="AV909" s="66"/>
      <c r="AW909" s="66"/>
      <c r="AX909" s="66"/>
      <c r="AY909" s="66"/>
      <c r="AZ909" s="66"/>
      <c r="BA909" s="66"/>
      <c r="BB909" s="66"/>
      <c r="BC909" s="66"/>
      <c r="BD909" s="66"/>
      <c r="BE909" s="66"/>
      <c r="BF909" s="66"/>
      <c r="BG909" s="66"/>
      <c r="BH909" s="66"/>
      <c r="BI909" s="66"/>
      <c r="BJ909" s="66"/>
      <c r="BK909" s="66"/>
      <c r="BL909" s="66"/>
      <c r="BM909" s="66"/>
      <c r="BN909" s="66"/>
      <c r="BO909" s="66"/>
      <c r="BP909" s="66"/>
      <c r="BQ909" s="66"/>
      <c r="BR909" s="66"/>
      <c r="BS909" s="66"/>
      <c r="BT909" s="66"/>
      <c r="BU909" s="66"/>
      <c r="BV909" s="66"/>
      <c r="BW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66"/>
      <c r="AU910" s="66"/>
      <c r="AV910" s="66"/>
      <c r="AW910" s="66"/>
      <c r="AX910" s="66"/>
      <c r="AY910" s="66"/>
      <c r="AZ910" s="66"/>
      <c r="BA910" s="66"/>
      <c r="BB910" s="66"/>
      <c r="BC910" s="66"/>
      <c r="BD910" s="66"/>
      <c r="BE910" s="66"/>
      <c r="BF910" s="66"/>
      <c r="BG910" s="66"/>
      <c r="BH910" s="66"/>
      <c r="BI910" s="66"/>
      <c r="BJ910" s="66"/>
      <c r="BK910" s="66"/>
      <c r="BL910" s="66"/>
      <c r="BM910" s="66"/>
      <c r="BN910" s="66"/>
      <c r="BO910" s="66"/>
      <c r="BP910" s="66"/>
      <c r="BQ910" s="66"/>
      <c r="BR910" s="66"/>
      <c r="BS910" s="66"/>
      <c r="BT910" s="66"/>
      <c r="BU910" s="66"/>
      <c r="BV910" s="66"/>
      <c r="BW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66"/>
      <c r="AU911" s="66"/>
      <c r="AV911" s="66"/>
      <c r="AW911" s="66"/>
      <c r="AX911" s="66"/>
      <c r="AY911" s="66"/>
      <c r="AZ911" s="66"/>
      <c r="BA911" s="66"/>
      <c r="BB911" s="66"/>
      <c r="BC911" s="66"/>
      <c r="BD911" s="66"/>
      <c r="BE911" s="66"/>
      <c r="BF911" s="66"/>
      <c r="BG911" s="66"/>
      <c r="BH911" s="66"/>
      <c r="BI911" s="66"/>
      <c r="BJ911" s="66"/>
      <c r="BK911" s="66"/>
      <c r="BL911" s="66"/>
      <c r="BM911" s="66"/>
      <c r="BN911" s="66"/>
      <c r="BO911" s="66"/>
      <c r="BP911" s="66"/>
      <c r="BQ911" s="66"/>
      <c r="BR911" s="66"/>
      <c r="BS911" s="66"/>
      <c r="BT911" s="66"/>
      <c r="BU911" s="66"/>
      <c r="BV911" s="66"/>
      <c r="BW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66"/>
      <c r="AZ912" s="66"/>
      <c r="BA912" s="66"/>
      <c r="BB912" s="66"/>
      <c r="BC912" s="66"/>
      <c r="BD912" s="66"/>
      <c r="BE912" s="66"/>
      <c r="BF912" s="66"/>
      <c r="BG912" s="66"/>
      <c r="BH912" s="66"/>
      <c r="BI912" s="66"/>
      <c r="BJ912" s="66"/>
      <c r="BK912" s="66"/>
      <c r="BL912" s="66"/>
      <c r="BM912" s="66"/>
      <c r="BN912" s="66"/>
      <c r="BO912" s="66"/>
      <c r="BP912" s="66"/>
      <c r="BQ912" s="66"/>
      <c r="BR912" s="66"/>
      <c r="BS912" s="66"/>
      <c r="BT912" s="66"/>
      <c r="BU912" s="66"/>
      <c r="BV912" s="66"/>
      <c r="BW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66"/>
      <c r="AU913" s="66"/>
      <c r="AV913" s="66"/>
      <c r="AW913" s="66"/>
      <c r="AX913" s="66"/>
      <c r="AY913" s="66"/>
      <c r="AZ913" s="66"/>
      <c r="BA913" s="66"/>
      <c r="BB913" s="66"/>
      <c r="BC913" s="66"/>
      <c r="BD913" s="66"/>
      <c r="BE913" s="66"/>
      <c r="BF913" s="66"/>
      <c r="BG913" s="66"/>
      <c r="BH913" s="66"/>
      <c r="BI913" s="66"/>
      <c r="BJ913" s="66"/>
      <c r="BK913" s="66"/>
      <c r="BL913" s="66"/>
      <c r="BM913" s="66"/>
      <c r="BN913" s="66"/>
      <c r="BO913" s="66"/>
      <c r="BP913" s="66"/>
      <c r="BQ913" s="66"/>
      <c r="BR913" s="66"/>
      <c r="BS913" s="66"/>
      <c r="BT913" s="66"/>
      <c r="BU913" s="66"/>
      <c r="BV913" s="66"/>
      <c r="BW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  <c r="AS914" s="66"/>
      <c r="AT914" s="66"/>
      <c r="AU914" s="66"/>
      <c r="AV914" s="66"/>
      <c r="AW914" s="66"/>
      <c r="AX914" s="66"/>
      <c r="AY914" s="66"/>
      <c r="AZ914" s="66"/>
      <c r="BA914" s="66"/>
      <c r="BB914" s="66"/>
      <c r="BC914" s="66"/>
      <c r="BD914" s="66"/>
      <c r="BE914" s="66"/>
      <c r="BF914" s="66"/>
      <c r="BG914" s="66"/>
      <c r="BH914" s="66"/>
      <c r="BI914" s="66"/>
      <c r="BJ914" s="66"/>
      <c r="BK914" s="66"/>
      <c r="BL914" s="66"/>
      <c r="BM914" s="66"/>
      <c r="BN914" s="66"/>
      <c r="BO914" s="66"/>
      <c r="BP914" s="66"/>
      <c r="BQ914" s="66"/>
      <c r="BR914" s="66"/>
      <c r="BS914" s="66"/>
      <c r="BT914" s="66"/>
      <c r="BU914" s="66"/>
      <c r="BV914" s="66"/>
      <c r="BW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66"/>
      <c r="AU915" s="66"/>
      <c r="AV915" s="66"/>
      <c r="AW915" s="66"/>
      <c r="AX915" s="66"/>
      <c r="AY915" s="66"/>
      <c r="AZ915" s="66"/>
      <c r="BA915" s="66"/>
      <c r="BB915" s="66"/>
      <c r="BC915" s="66"/>
      <c r="BD915" s="66"/>
      <c r="BE915" s="66"/>
      <c r="BF915" s="66"/>
      <c r="BG915" s="66"/>
      <c r="BH915" s="66"/>
      <c r="BI915" s="66"/>
      <c r="BJ915" s="66"/>
      <c r="BK915" s="66"/>
      <c r="BL915" s="66"/>
      <c r="BM915" s="66"/>
      <c r="BN915" s="66"/>
      <c r="BO915" s="66"/>
      <c r="BP915" s="66"/>
      <c r="BQ915" s="66"/>
      <c r="BR915" s="66"/>
      <c r="BS915" s="66"/>
      <c r="BT915" s="66"/>
      <c r="BU915" s="66"/>
      <c r="BV915" s="66"/>
      <c r="BW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66"/>
      <c r="AU916" s="66"/>
      <c r="AV916" s="66"/>
      <c r="AW916" s="66"/>
      <c r="AX916" s="66"/>
      <c r="AY916" s="66"/>
      <c r="AZ916" s="66"/>
      <c r="BA916" s="66"/>
      <c r="BB916" s="66"/>
      <c r="BC916" s="66"/>
      <c r="BD916" s="66"/>
      <c r="BE916" s="66"/>
      <c r="BF916" s="66"/>
      <c r="BG916" s="66"/>
      <c r="BH916" s="66"/>
      <c r="BI916" s="66"/>
      <c r="BJ916" s="66"/>
      <c r="BK916" s="66"/>
      <c r="BL916" s="66"/>
      <c r="BM916" s="66"/>
      <c r="BN916" s="66"/>
      <c r="BO916" s="66"/>
      <c r="BP916" s="66"/>
      <c r="BQ916" s="66"/>
      <c r="BR916" s="66"/>
      <c r="BS916" s="66"/>
      <c r="BT916" s="66"/>
      <c r="BU916" s="66"/>
      <c r="BV916" s="66"/>
      <c r="BW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66"/>
      <c r="AU917" s="66"/>
      <c r="AV917" s="66"/>
      <c r="AW917" s="66"/>
      <c r="AX917" s="66"/>
      <c r="AY917" s="66"/>
      <c r="AZ917" s="66"/>
      <c r="BA917" s="66"/>
      <c r="BB917" s="66"/>
      <c r="BC917" s="66"/>
      <c r="BD917" s="66"/>
      <c r="BE917" s="66"/>
      <c r="BF917" s="66"/>
      <c r="BG917" s="66"/>
      <c r="BH917" s="66"/>
      <c r="BI917" s="66"/>
      <c r="BJ917" s="66"/>
      <c r="BK917" s="66"/>
      <c r="BL917" s="66"/>
      <c r="BM917" s="66"/>
      <c r="BN917" s="66"/>
      <c r="BO917" s="66"/>
      <c r="BP917" s="66"/>
      <c r="BQ917" s="66"/>
      <c r="BR917" s="66"/>
      <c r="BS917" s="66"/>
      <c r="BT917" s="66"/>
      <c r="BU917" s="66"/>
      <c r="BV917" s="66"/>
      <c r="BW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66"/>
      <c r="AU918" s="66"/>
      <c r="AV918" s="66"/>
      <c r="AW918" s="66"/>
      <c r="AX918" s="66"/>
      <c r="AY918" s="66"/>
      <c r="AZ918" s="66"/>
      <c r="BA918" s="66"/>
      <c r="BB918" s="66"/>
      <c r="BC918" s="66"/>
      <c r="BD918" s="66"/>
      <c r="BE918" s="66"/>
      <c r="BF918" s="66"/>
      <c r="BG918" s="66"/>
      <c r="BH918" s="66"/>
      <c r="BI918" s="66"/>
      <c r="BJ918" s="66"/>
      <c r="BK918" s="66"/>
      <c r="BL918" s="66"/>
      <c r="BM918" s="66"/>
      <c r="BN918" s="66"/>
      <c r="BO918" s="66"/>
      <c r="BP918" s="66"/>
      <c r="BQ918" s="66"/>
      <c r="BR918" s="66"/>
      <c r="BS918" s="66"/>
      <c r="BT918" s="66"/>
      <c r="BU918" s="66"/>
      <c r="BV918" s="66"/>
      <c r="BW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66"/>
      <c r="AZ919" s="66"/>
      <c r="BA919" s="66"/>
      <c r="BB919" s="66"/>
      <c r="BC919" s="66"/>
      <c r="BD919" s="66"/>
      <c r="BE919" s="66"/>
      <c r="BF919" s="66"/>
      <c r="BG919" s="66"/>
      <c r="BH919" s="66"/>
      <c r="BI919" s="66"/>
      <c r="BJ919" s="66"/>
      <c r="BK919" s="66"/>
      <c r="BL919" s="66"/>
      <c r="BM919" s="66"/>
      <c r="BN919" s="66"/>
      <c r="BO919" s="66"/>
      <c r="BP919" s="66"/>
      <c r="BQ919" s="66"/>
      <c r="BR919" s="66"/>
      <c r="BS919" s="66"/>
      <c r="BT919" s="66"/>
      <c r="BU919" s="66"/>
      <c r="BV919" s="66"/>
      <c r="BW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/>
      <c r="BJ920" s="66"/>
      <c r="BK920" s="66"/>
      <c r="BL920" s="66"/>
      <c r="BM920" s="66"/>
      <c r="BN920" s="66"/>
      <c r="BO920" s="66"/>
      <c r="BP920" s="66"/>
      <c r="BQ920" s="66"/>
      <c r="BR920" s="66"/>
      <c r="BS920" s="66"/>
      <c r="BT920" s="66"/>
      <c r="BU920" s="66"/>
      <c r="BV920" s="66"/>
      <c r="BW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/>
      <c r="BJ921" s="66"/>
      <c r="BK921" s="66"/>
      <c r="BL921" s="66"/>
      <c r="BM921" s="66"/>
      <c r="BN921" s="66"/>
      <c r="BO921" s="66"/>
      <c r="BP921" s="66"/>
      <c r="BQ921" s="66"/>
      <c r="BR921" s="66"/>
      <c r="BS921" s="66"/>
      <c r="BT921" s="66"/>
      <c r="BU921" s="66"/>
      <c r="BV921" s="66"/>
      <c r="BW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66"/>
      <c r="AZ922" s="66"/>
      <c r="BA922" s="66"/>
      <c r="BB922" s="66"/>
      <c r="BC922" s="66"/>
      <c r="BD922" s="66"/>
      <c r="BE922" s="66"/>
      <c r="BF922" s="66"/>
      <c r="BG922" s="66"/>
      <c r="BH922" s="66"/>
      <c r="BI922" s="66"/>
      <c r="BJ922" s="66"/>
      <c r="BK922" s="66"/>
      <c r="BL922" s="66"/>
      <c r="BM922" s="66"/>
      <c r="BN922" s="66"/>
      <c r="BO922" s="66"/>
      <c r="BP922" s="66"/>
      <c r="BQ922" s="66"/>
      <c r="BR922" s="66"/>
      <c r="BS922" s="66"/>
      <c r="BT922" s="66"/>
      <c r="BU922" s="66"/>
      <c r="BV922" s="66"/>
      <c r="BW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66"/>
      <c r="AU923" s="66"/>
      <c r="AV923" s="66"/>
      <c r="AW923" s="66"/>
      <c r="AX923" s="66"/>
      <c r="AY923" s="66"/>
      <c r="AZ923" s="66"/>
      <c r="BA923" s="66"/>
      <c r="BB923" s="66"/>
      <c r="BC923" s="66"/>
      <c r="BD923" s="66"/>
      <c r="BE923" s="66"/>
      <c r="BF923" s="66"/>
      <c r="BG923" s="66"/>
      <c r="BH923" s="66"/>
      <c r="BI923" s="66"/>
      <c r="BJ923" s="66"/>
      <c r="BK923" s="66"/>
      <c r="BL923" s="66"/>
      <c r="BM923" s="66"/>
      <c r="BN923" s="66"/>
      <c r="BO923" s="66"/>
      <c r="BP923" s="66"/>
      <c r="BQ923" s="66"/>
      <c r="BR923" s="66"/>
      <c r="BS923" s="66"/>
      <c r="BT923" s="66"/>
      <c r="BU923" s="66"/>
      <c r="BV923" s="66"/>
      <c r="BW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66"/>
      <c r="AU924" s="66"/>
      <c r="AV924" s="66"/>
      <c r="AW924" s="66"/>
      <c r="AX924" s="66"/>
      <c r="AY924" s="66"/>
      <c r="AZ924" s="66"/>
      <c r="BA924" s="66"/>
      <c r="BB924" s="66"/>
      <c r="BC924" s="66"/>
      <c r="BD924" s="66"/>
      <c r="BE924" s="66"/>
      <c r="BF924" s="66"/>
      <c r="BG924" s="66"/>
      <c r="BH924" s="66"/>
      <c r="BI924" s="66"/>
      <c r="BJ924" s="66"/>
      <c r="BK924" s="66"/>
      <c r="BL924" s="66"/>
      <c r="BM924" s="66"/>
      <c r="BN924" s="66"/>
      <c r="BO924" s="66"/>
      <c r="BP924" s="66"/>
      <c r="BQ924" s="66"/>
      <c r="BR924" s="66"/>
      <c r="BS924" s="66"/>
      <c r="BT924" s="66"/>
      <c r="BU924" s="66"/>
      <c r="BV924" s="66"/>
      <c r="BW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66"/>
      <c r="AU925" s="66"/>
      <c r="AV925" s="66"/>
      <c r="AW925" s="66"/>
      <c r="AX925" s="66"/>
      <c r="AY925" s="66"/>
      <c r="AZ925" s="66"/>
      <c r="BA925" s="66"/>
      <c r="BB925" s="66"/>
      <c r="BC925" s="66"/>
      <c r="BD925" s="66"/>
      <c r="BE925" s="66"/>
      <c r="BF925" s="66"/>
      <c r="BG925" s="66"/>
      <c r="BH925" s="66"/>
      <c r="BI925" s="66"/>
      <c r="BJ925" s="66"/>
      <c r="BK925" s="66"/>
      <c r="BL925" s="66"/>
      <c r="BM925" s="66"/>
      <c r="BN925" s="66"/>
      <c r="BO925" s="66"/>
      <c r="BP925" s="66"/>
      <c r="BQ925" s="66"/>
      <c r="BR925" s="66"/>
      <c r="BS925" s="66"/>
      <c r="BT925" s="66"/>
      <c r="BU925" s="66"/>
      <c r="BV925" s="66"/>
      <c r="BW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66"/>
      <c r="AU926" s="66"/>
      <c r="AV926" s="66"/>
      <c r="AW926" s="66"/>
      <c r="AX926" s="66"/>
      <c r="AY926" s="66"/>
      <c r="AZ926" s="66"/>
      <c r="BA926" s="66"/>
      <c r="BB926" s="66"/>
      <c r="BC926" s="66"/>
      <c r="BD926" s="66"/>
      <c r="BE926" s="66"/>
      <c r="BF926" s="66"/>
      <c r="BG926" s="66"/>
      <c r="BH926" s="66"/>
      <c r="BI926" s="66"/>
      <c r="BJ926" s="66"/>
      <c r="BK926" s="66"/>
      <c r="BL926" s="66"/>
      <c r="BM926" s="66"/>
      <c r="BN926" s="66"/>
      <c r="BO926" s="66"/>
      <c r="BP926" s="66"/>
      <c r="BQ926" s="66"/>
      <c r="BR926" s="66"/>
      <c r="BS926" s="66"/>
      <c r="BT926" s="66"/>
      <c r="BU926" s="66"/>
      <c r="BV926" s="66"/>
      <c r="BW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66"/>
      <c r="AU927" s="66"/>
      <c r="AV927" s="66"/>
      <c r="AW927" s="66"/>
      <c r="AX927" s="66"/>
      <c r="AY927" s="66"/>
      <c r="AZ927" s="66"/>
      <c r="BA927" s="66"/>
      <c r="BB927" s="66"/>
      <c r="BC927" s="66"/>
      <c r="BD927" s="66"/>
      <c r="BE927" s="66"/>
      <c r="BF927" s="66"/>
      <c r="BG927" s="66"/>
      <c r="BH927" s="66"/>
      <c r="BI927" s="66"/>
      <c r="BJ927" s="66"/>
      <c r="BK927" s="66"/>
      <c r="BL927" s="66"/>
      <c r="BM927" s="66"/>
      <c r="BN927" s="66"/>
      <c r="BO927" s="66"/>
      <c r="BP927" s="66"/>
      <c r="BQ927" s="66"/>
      <c r="BR927" s="66"/>
      <c r="BS927" s="66"/>
      <c r="BT927" s="66"/>
      <c r="BU927" s="66"/>
      <c r="BV927" s="66"/>
      <c r="BW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66"/>
      <c r="AU928" s="66"/>
      <c r="AV928" s="66"/>
      <c r="AW928" s="66"/>
      <c r="AX928" s="66"/>
      <c r="AY928" s="66"/>
      <c r="AZ928" s="66"/>
      <c r="BA928" s="66"/>
      <c r="BB928" s="66"/>
      <c r="BC928" s="66"/>
      <c r="BD928" s="66"/>
      <c r="BE928" s="66"/>
      <c r="BF928" s="66"/>
      <c r="BG928" s="66"/>
      <c r="BH928" s="66"/>
      <c r="BI928" s="66"/>
      <c r="BJ928" s="66"/>
      <c r="BK928" s="66"/>
      <c r="BL928" s="66"/>
      <c r="BM928" s="66"/>
      <c r="BN928" s="66"/>
      <c r="BO928" s="66"/>
      <c r="BP928" s="66"/>
      <c r="BQ928" s="66"/>
      <c r="BR928" s="66"/>
      <c r="BS928" s="66"/>
      <c r="BT928" s="66"/>
      <c r="BU928" s="66"/>
      <c r="BV928" s="66"/>
      <c r="BW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66"/>
      <c r="AU929" s="66"/>
      <c r="AV929" s="66"/>
      <c r="AW929" s="66"/>
      <c r="AX929" s="66"/>
      <c r="AY929" s="66"/>
      <c r="AZ929" s="66"/>
      <c r="BA929" s="66"/>
      <c r="BB929" s="66"/>
      <c r="BC929" s="66"/>
      <c r="BD929" s="66"/>
      <c r="BE929" s="66"/>
      <c r="BF929" s="66"/>
      <c r="BG929" s="66"/>
      <c r="BH929" s="66"/>
      <c r="BI929" s="66"/>
      <c r="BJ929" s="66"/>
      <c r="BK929" s="66"/>
      <c r="BL929" s="66"/>
      <c r="BM929" s="66"/>
      <c r="BN929" s="66"/>
      <c r="BO929" s="66"/>
      <c r="BP929" s="66"/>
      <c r="BQ929" s="66"/>
      <c r="BR929" s="66"/>
      <c r="BS929" s="66"/>
      <c r="BT929" s="66"/>
      <c r="BU929" s="66"/>
      <c r="BV929" s="66"/>
      <c r="BW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66"/>
      <c r="AU930" s="66"/>
      <c r="AV930" s="66"/>
      <c r="AW930" s="66"/>
      <c r="AX930" s="66"/>
      <c r="AY930" s="66"/>
      <c r="AZ930" s="66"/>
      <c r="BA930" s="66"/>
      <c r="BB930" s="66"/>
      <c r="BC930" s="66"/>
      <c r="BD930" s="66"/>
      <c r="BE930" s="66"/>
      <c r="BF930" s="66"/>
      <c r="BG930" s="66"/>
      <c r="BH930" s="66"/>
      <c r="BI930" s="66"/>
      <c r="BJ930" s="66"/>
      <c r="BK930" s="66"/>
      <c r="BL930" s="66"/>
      <c r="BM930" s="66"/>
      <c r="BN930" s="66"/>
      <c r="BO930" s="66"/>
      <c r="BP930" s="66"/>
      <c r="BQ930" s="66"/>
      <c r="BR930" s="66"/>
      <c r="BS930" s="66"/>
      <c r="BT930" s="66"/>
      <c r="BU930" s="66"/>
      <c r="BV930" s="66"/>
      <c r="BW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6"/>
      <c r="AS931" s="66"/>
      <c r="AT931" s="66"/>
      <c r="AU931" s="66"/>
      <c r="AV931" s="66"/>
      <c r="AW931" s="66"/>
      <c r="AX931" s="66"/>
      <c r="AY931" s="66"/>
      <c r="AZ931" s="66"/>
      <c r="BA931" s="66"/>
      <c r="BB931" s="66"/>
      <c r="BC931" s="66"/>
      <c r="BD931" s="66"/>
      <c r="BE931" s="66"/>
      <c r="BF931" s="66"/>
      <c r="BG931" s="66"/>
      <c r="BH931" s="66"/>
      <c r="BI931" s="66"/>
      <c r="BJ931" s="66"/>
      <c r="BK931" s="66"/>
      <c r="BL931" s="66"/>
      <c r="BM931" s="66"/>
      <c r="BN931" s="66"/>
      <c r="BO931" s="66"/>
      <c r="BP931" s="66"/>
      <c r="BQ931" s="66"/>
      <c r="BR931" s="66"/>
      <c r="BS931" s="66"/>
      <c r="BT931" s="66"/>
      <c r="BU931" s="66"/>
      <c r="BV931" s="66"/>
      <c r="BW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  <c r="AS932" s="66"/>
      <c r="AT932" s="66"/>
      <c r="AU932" s="66"/>
      <c r="AV932" s="66"/>
      <c r="AW932" s="66"/>
      <c r="AX932" s="66"/>
      <c r="AY932" s="66"/>
      <c r="AZ932" s="66"/>
      <c r="BA932" s="66"/>
      <c r="BB932" s="66"/>
      <c r="BC932" s="66"/>
      <c r="BD932" s="66"/>
      <c r="BE932" s="66"/>
      <c r="BF932" s="66"/>
      <c r="BG932" s="66"/>
      <c r="BH932" s="66"/>
      <c r="BI932" s="66"/>
      <c r="BJ932" s="66"/>
      <c r="BK932" s="66"/>
      <c r="BL932" s="66"/>
      <c r="BM932" s="66"/>
      <c r="BN932" s="66"/>
      <c r="BO932" s="66"/>
      <c r="BP932" s="66"/>
      <c r="BQ932" s="66"/>
      <c r="BR932" s="66"/>
      <c r="BS932" s="66"/>
      <c r="BT932" s="66"/>
      <c r="BU932" s="66"/>
      <c r="BV932" s="66"/>
      <c r="BW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66"/>
      <c r="AU933" s="66"/>
      <c r="AV933" s="66"/>
      <c r="AW933" s="66"/>
      <c r="AX933" s="66"/>
      <c r="AY933" s="66"/>
      <c r="AZ933" s="66"/>
      <c r="BA933" s="66"/>
      <c r="BB933" s="66"/>
      <c r="BC933" s="66"/>
      <c r="BD933" s="66"/>
      <c r="BE933" s="66"/>
      <c r="BF933" s="66"/>
      <c r="BG933" s="66"/>
      <c r="BH933" s="66"/>
      <c r="BI933" s="66"/>
      <c r="BJ933" s="66"/>
      <c r="BK933" s="66"/>
      <c r="BL933" s="66"/>
      <c r="BM933" s="66"/>
      <c r="BN933" s="66"/>
      <c r="BO933" s="66"/>
      <c r="BP933" s="66"/>
      <c r="BQ933" s="66"/>
      <c r="BR933" s="66"/>
      <c r="BS933" s="66"/>
      <c r="BT933" s="66"/>
      <c r="BU933" s="66"/>
      <c r="BV933" s="66"/>
      <c r="BW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66"/>
      <c r="AU934" s="66"/>
      <c r="AV934" s="66"/>
      <c r="AW934" s="66"/>
      <c r="AX934" s="66"/>
      <c r="AY934" s="66"/>
      <c r="AZ934" s="66"/>
      <c r="BA934" s="66"/>
      <c r="BB934" s="66"/>
      <c r="BC934" s="66"/>
      <c r="BD934" s="66"/>
      <c r="BE934" s="66"/>
      <c r="BF934" s="66"/>
      <c r="BG934" s="66"/>
      <c r="BH934" s="66"/>
      <c r="BI934" s="66"/>
      <c r="BJ934" s="66"/>
      <c r="BK934" s="66"/>
      <c r="BL934" s="66"/>
      <c r="BM934" s="66"/>
      <c r="BN934" s="66"/>
      <c r="BO934" s="66"/>
      <c r="BP934" s="66"/>
      <c r="BQ934" s="66"/>
      <c r="BR934" s="66"/>
      <c r="BS934" s="66"/>
      <c r="BT934" s="66"/>
      <c r="BU934" s="66"/>
      <c r="BV934" s="66"/>
      <c r="BW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  <c r="AS935" s="66"/>
      <c r="AT935" s="66"/>
      <c r="AU935" s="66"/>
      <c r="AV935" s="66"/>
      <c r="AW935" s="66"/>
      <c r="AX935" s="66"/>
      <c r="AY935" s="66"/>
      <c r="AZ935" s="66"/>
      <c r="BA935" s="66"/>
      <c r="BB935" s="66"/>
      <c r="BC935" s="66"/>
      <c r="BD935" s="66"/>
      <c r="BE935" s="66"/>
      <c r="BF935" s="66"/>
      <c r="BG935" s="66"/>
      <c r="BH935" s="66"/>
      <c r="BI935" s="66"/>
      <c r="BJ935" s="66"/>
      <c r="BK935" s="66"/>
      <c r="BL935" s="66"/>
      <c r="BM935" s="66"/>
      <c r="BN935" s="66"/>
      <c r="BO935" s="66"/>
      <c r="BP935" s="66"/>
      <c r="BQ935" s="66"/>
      <c r="BR935" s="66"/>
      <c r="BS935" s="66"/>
      <c r="BT935" s="66"/>
      <c r="BU935" s="66"/>
      <c r="BV935" s="66"/>
      <c r="BW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66"/>
      <c r="AU936" s="66"/>
      <c r="AV936" s="66"/>
      <c r="AW936" s="66"/>
      <c r="AX936" s="66"/>
      <c r="AY936" s="66"/>
      <c r="AZ936" s="66"/>
      <c r="BA936" s="66"/>
      <c r="BB936" s="66"/>
      <c r="BC936" s="66"/>
      <c r="BD936" s="66"/>
      <c r="BE936" s="66"/>
      <c r="BF936" s="66"/>
      <c r="BG936" s="66"/>
      <c r="BH936" s="66"/>
      <c r="BI936" s="66"/>
      <c r="BJ936" s="66"/>
      <c r="BK936" s="66"/>
      <c r="BL936" s="66"/>
      <c r="BM936" s="66"/>
      <c r="BN936" s="66"/>
      <c r="BO936" s="66"/>
      <c r="BP936" s="66"/>
      <c r="BQ936" s="66"/>
      <c r="BR936" s="66"/>
      <c r="BS936" s="66"/>
      <c r="BT936" s="66"/>
      <c r="BU936" s="66"/>
      <c r="BV936" s="66"/>
      <c r="BW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66"/>
      <c r="AU937" s="66"/>
      <c r="AV937" s="66"/>
      <c r="AW937" s="66"/>
      <c r="AX937" s="66"/>
      <c r="AY937" s="66"/>
      <c r="AZ937" s="66"/>
      <c r="BA937" s="66"/>
      <c r="BB937" s="66"/>
      <c r="BC937" s="66"/>
      <c r="BD937" s="66"/>
      <c r="BE937" s="66"/>
      <c r="BF937" s="66"/>
      <c r="BG937" s="66"/>
      <c r="BH937" s="66"/>
      <c r="BI937" s="66"/>
      <c r="BJ937" s="66"/>
      <c r="BK937" s="66"/>
      <c r="BL937" s="66"/>
      <c r="BM937" s="66"/>
      <c r="BN937" s="66"/>
      <c r="BO937" s="66"/>
      <c r="BP937" s="66"/>
      <c r="BQ937" s="66"/>
      <c r="BR937" s="66"/>
      <c r="BS937" s="66"/>
      <c r="BT937" s="66"/>
      <c r="BU937" s="66"/>
      <c r="BV937" s="66"/>
      <c r="BW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66"/>
      <c r="AU938" s="66"/>
      <c r="AV938" s="66"/>
      <c r="AW938" s="66"/>
      <c r="AX938" s="66"/>
      <c r="AY938" s="66"/>
      <c r="AZ938" s="66"/>
      <c r="BA938" s="66"/>
      <c r="BB938" s="66"/>
      <c r="BC938" s="66"/>
      <c r="BD938" s="66"/>
      <c r="BE938" s="66"/>
      <c r="BF938" s="66"/>
      <c r="BG938" s="66"/>
      <c r="BH938" s="66"/>
      <c r="BI938" s="66"/>
      <c r="BJ938" s="66"/>
      <c r="BK938" s="66"/>
      <c r="BL938" s="66"/>
      <c r="BM938" s="66"/>
      <c r="BN938" s="66"/>
      <c r="BO938" s="66"/>
      <c r="BP938" s="66"/>
      <c r="BQ938" s="66"/>
      <c r="BR938" s="66"/>
      <c r="BS938" s="66"/>
      <c r="BT938" s="66"/>
      <c r="BU938" s="66"/>
      <c r="BV938" s="66"/>
      <c r="BW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66"/>
      <c r="AU939" s="66"/>
      <c r="AV939" s="66"/>
      <c r="AW939" s="66"/>
      <c r="AX939" s="66"/>
      <c r="AY939" s="66"/>
      <c r="AZ939" s="66"/>
      <c r="BA939" s="66"/>
      <c r="BB939" s="66"/>
      <c r="BC939" s="66"/>
      <c r="BD939" s="66"/>
      <c r="BE939" s="66"/>
      <c r="BF939" s="66"/>
      <c r="BG939" s="66"/>
      <c r="BH939" s="66"/>
      <c r="BI939" s="66"/>
      <c r="BJ939" s="66"/>
      <c r="BK939" s="66"/>
      <c r="BL939" s="66"/>
      <c r="BM939" s="66"/>
      <c r="BN939" s="66"/>
      <c r="BO939" s="66"/>
      <c r="BP939" s="66"/>
      <c r="BQ939" s="66"/>
      <c r="BR939" s="66"/>
      <c r="BS939" s="66"/>
      <c r="BT939" s="66"/>
      <c r="BU939" s="66"/>
      <c r="BV939" s="66"/>
      <c r="BW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66"/>
      <c r="AU940" s="66"/>
      <c r="AV940" s="66"/>
      <c r="AW940" s="66"/>
      <c r="AX940" s="66"/>
      <c r="AY940" s="66"/>
      <c r="AZ940" s="66"/>
      <c r="BA940" s="66"/>
      <c r="BB940" s="66"/>
      <c r="BC940" s="66"/>
      <c r="BD940" s="66"/>
      <c r="BE940" s="66"/>
      <c r="BF940" s="66"/>
      <c r="BG940" s="66"/>
      <c r="BH940" s="66"/>
      <c r="BI940" s="66"/>
      <c r="BJ940" s="66"/>
      <c r="BK940" s="66"/>
      <c r="BL940" s="66"/>
      <c r="BM940" s="66"/>
      <c r="BN940" s="66"/>
      <c r="BO940" s="66"/>
      <c r="BP940" s="66"/>
      <c r="BQ940" s="66"/>
      <c r="BR940" s="66"/>
      <c r="BS940" s="66"/>
      <c r="BT940" s="66"/>
      <c r="BU940" s="66"/>
      <c r="BV940" s="66"/>
      <c r="BW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66"/>
      <c r="AU941" s="66"/>
      <c r="AV941" s="66"/>
      <c r="AW941" s="66"/>
      <c r="AX941" s="66"/>
      <c r="AY941" s="66"/>
      <c r="AZ941" s="66"/>
      <c r="BA941" s="66"/>
      <c r="BB941" s="66"/>
      <c r="BC941" s="66"/>
      <c r="BD941" s="66"/>
      <c r="BE941" s="66"/>
      <c r="BF941" s="66"/>
      <c r="BG941" s="66"/>
      <c r="BH941" s="66"/>
      <c r="BI941" s="66"/>
      <c r="BJ941" s="66"/>
      <c r="BK941" s="66"/>
      <c r="BL941" s="66"/>
      <c r="BM941" s="66"/>
      <c r="BN941" s="66"/>
      <c r="BO941" s="66"/>
      <c r="BP941" s="66"/>
      <c r="BQ941" s="66"/>
      <c r="BR941" s="66"/>
      <c r="BS941" s="66"/>
      <c r="BT941" s="66"/>
      <c r="BU941" s="66"/>
      <c r="BV941" s="66"/>
      <c r="BW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66"/>
      <c r="AU942" s="66"/>
      <c r="AV942" s="66"/>
      <c r="AW942" s="66"/>
      <c r="AX942" s="66"/>
      <c r="AY942" s="66"/>
      <c r="AZ942" s="66"/>
      <c r="BA942" s="66"/>
      <c r="BB942" s="66"/>
      <c r="BC942" s="66"/>
      <c r="BD942" s="66"/>
      <c r="BE942" s="66"/>
      <c r="BF942" s="66"/>
      <c r="BG942" s="66"/>
      <c r="BH942" s="66"/>
      <c r="BI942" s="66"/>
      <c r="BJ942" s="66"/>
      <c r="BK942" s="66"/>
      <c r="BL942" s="66"/>
      <c r="BM942" s="66"/>
      <c r="BN942" s="66"/>
      <c r="BO942" s="66"/>
      <c r="BP942" s="66"/>
      <c r="BQ942" s="66"/>
      <c r="BR942" s="66"/>
      <c r="BS942" s="66"/>
      <c r="BT942" s="66"/>
      <c r="BU942" s="66"/>
      <c r="BV942" s="66"/>
      <c r="BW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66"/>
      <c r="AU943" s="66"/>
      <c r="AV943" s="66"/>
      <c r="AW943" s="66"/>
      <c r="AX943" s="66"/>
      <c r="AY943" s="66"/>
      <c r="AZ943" s="66"/>
      <c r="BA943" s="66"/>
      <c r="BB943" s="66"/>
      <c r="BC943" s="66"/>
      <c r="BD943" s="66"/>
      <c r="BE943" s="66"/>
      <c r="BF943" s="66"/>
      <c r="BG943" s="66"/>
      <c r="BH943" s="66"/>
      <c r="BI943" s="66"/>
      <c r="BJ943" s="66"/>
      <c r="BK943" s="66"/>
      <c r="BL943" s="66"/>
      <c r="BM943" s="66"/>
      <c r="BN943" s="66"/>
      <c r="BO943" s="66"/>
      <c r="BP943" s="66"/>
      <c r="BQ943" s="66"/>
      <c r="BR943" s="66"/>
      <c r="BS943" s="66"/>
      <c r="BT943" s="66"/>
      <c r="BU943" s="66"/>
      <c r="BV943" s="66"/>
      <c r="BW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66"/>
      <c r="AU944" s="66"/>
      <c r="AV944" s="66"/>
      <c r="AW944" s="66"/>
      <c r="AX944" s="66"/>
      <c r="AY944" s="66"/>
      <c r="AZ944" s="66"/>
      <c r="BA944" s="66"/>
      <c r="BB944" s="66"/>
      <c r="BC944" s="66"/>
      <c r="BD944" s="66"/>
      <c r="BE944" s="66"/>
      <c r="BF944" s="66"/>
      <c r="BG944" s="66"/>
      <c r="BH944" s="66"/>
      <c r="BI944" s="66"/>
      <c r="BJ944" s="66"/>
      <c r="BK944" s="66"/>
      <c r="BL944" s="66"/>
      <c r="BM944" s="66"/>
      <c r="BN944" s="66"/>
      <c r="BO944" s="66"/>
      <c r="BP944" s="66"/>
      <c r="BQ944" s="66"/>
      <c r="BR944" s="66"/>
      <c r="BS944" s="66"/>
      <c r="BT944" s="66"/>
      <c r="BU944" s="66"/>
      <c r="BV944" s="66"/>
      <c r="BW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66"/>
      <c r="AU945" s="66"/>
      <c r="AV945" s="66"/>
      <c r="AW945" s="66"/>
      <c r="AX945" s="66"/>
      <c r="AY945" s="66"/>
      <c r="AZ945" s="66"/>
      <c r="BA945" s="66"/>
      <c r="BB945" s="66"/>
      <c r="BC945" s="66"/>
      <c r="BD945" s="66"/>
      <c r="BE945" s="66"/>
      <c r="BF945" s="66"/>
      <c r="BG945" s="66"/>
      <c r="BH945" s="66"/>
      <c r="BI945" s="66"/>
      <c r="BJ945" s="66"/>
      <c r="BK945" s="66"/>
      <c r="BL945" s="66"/>
      <c r="BM945" s="66"/>
      <c r="BN945" s="66"/>
      <c r="BO945" s="66"/>
      <c r="BP945" s="66"/>
      <c r="BQ945" s="66"/>
      <c r="BR945" s="66"/>
      <c r="BS945" s="66"/>
      <c r="BT945" s="66"/>
      <c r="BU945" s="66"/>
      <c r="BV945" s="66"/>
      <c r="BW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  <c r="AS946" s="66"/>
      <c r="AT946" s="66"/>
      <c r="AU946" s="66"/>
      <c r="AV946" s="66"/>
      <c r="AW946" s="66"/>
      <c r="AX946" s="66"/>
      <c r="AY946" s="66"/>
      <c r="AZ946" s="66"/>
      <c r="BA946" s="66"/>
      <c r="BB946" s="66"/>
      <c r="BC946" s="66"/>
      <c r="BD946" s="66"/>
      <c r="BE946" s="66"/>
      <c r="BF946" s="66"/>
      <c r="BG946" s="66"/>
      <c r="BH946" s="66"/>
      <c r="BI946" s="66"/>
      <c r="BJ946" s="66"/>
      <c r="BK946" s="66"/>
      <c r="BL946" s="66"/>
      <c r="BM946" s="66"/>
      <c r="BN946" s="66"/>
      <c r="BO946" s="66"/>
      <c r="BP946" s="66"/>
      <c r="BQ946" s="66"/>
      <c r="BR946" s="66"/>
      <c r="BS946" s="66"/>
      <c r="BT946" s="66"/>
      <c r="BU946" s="66"/>
      <c r="BV946" s="66"/>
      <c r="BW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66"/>
      <c r="AU947" s="66"/>
      <c r="AV947" s="66"/>
      <c r="AW947" s="66"/>
      <c r="AX947" s="66"/>
      <c r="AY947" s="66"/>
      <c r="AZ947" s="66"/>
      <c r="BA947" s="66"/>
      <c r="BB947" s="66"/>
      <c r="BC947" s="66"/>
      <c r="BD947" s="66"/>
      <c r="BE947" s="66"/>
      <c r="BF947" s="66"/>
      <c r="BG947" s="66"/>
      <c r="BH947" s="66"/>
      <c r="BI947" s="66"/>
      <c r="BJ947" s="66"/>
      <c r="BK947" s="66"/>
      <c r="BL947" s="66"/>
      <c r="BM947" s="66"/>
      <c r="BN947" s="66"/>
      <c r="BO947" s="66"/>
      <c r="BP947" s="66"/>
      <c r="BQ947" s="66"/>
      <c r="BR947" s="66"/>
      <c r="BS947" s="66"/>
      <c r="BT947" s="66"/>
      <c r="BU947" s="66"/>
      <c r="BV947" s="66"/>
      <c r="BW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/>
      <c r="AT948" s="66"/>
      <c r="AU948" s="66"/>
      <c r="AV948" s="66"/>
      <c r="AW948" s="66"/>
      <c r="AX948" s="66"/>
      <c r="AY948" s="66"/>
      <c r="AZ948" s="66"/>
      <c r="BA948" s="66"/>
      <c r="BB948" s="66"/>
      <c r="BC948" s="66"/>
      <c r="BD948" s="66"/>
      <c r="BE948" s="66"/>
      <c r="BF948" s="66"/>
      <c r="BG948" s="66"/>
      <c r="BH948" s="66"/>
      <c r="BI948" s="66"/>
      <c r="BJ948" s="66"/>
      <c r="BK948" s="66"/>
      <c r="BL948" s="66"/>
      <c r="BM948" s="66"/>
      <c r="BN948" s="66"/>
      <c r="BO948" s="66"/>
      <c r="BP948" s="66"/>
      <c r="BQ948" s="66"/>
      <c r="BR948" s="66"/>
      <c r="BS948" s="66"/>
      <c r="BT948" s="66"/>
      <c r="BU948" s="66"/>
      <c r="BV948" s="66"/>
      <c r="BW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66"/>
      <c r="AU949" s="66"/>
      <c r="AV949" s="66"/>
      <c r="AW949" s="66"/>
      <c r="AX949" s="66"/>
      <c r="AY949" s="66"/>
      <c r="AZ949" s="66"/>
      <c r="BA949" s="66"/>
      <c r="BB949" s="66"/>
      <c r="BC949" s="66"/>
      <c r="BD949" s="66"/>
      <c r="BE949" s="66"/>
      <c r="BF949" s="66"/>
      <c r="BG949" s="66"/>
      <c r="BH949" s="66"/>
      <c r="BI949" s="66"/>
      <c r="BJ949" s="66"/>
      <c r="BK949" s="66"/>
      <c r="BL949" s="66"/>
      <c r="BM949" s="66"/>
      <c r="BN949" s="66"/>
      <c r="BO949" s="66"/>
      <c r="BP949" s="66"/>
      <c r="BQ949" s="66"/>
      <c r="BR949" s="66"/>
      <c r="BS949" s="66"/>
      <c r="BT949" s="66"/>
      <c r="BU949" s="66"/>
      <c r="BV949" s="66"/>
      <c r="BW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66"/>
      <c r="AU950" s="66"/>
      <c r="AV950" s="66"/>
      <c r="AW950" s="66"/>
      <c r="AX950" s="66"/>
      <c r="AY950" s="66"/>
      <c r="AZ950" s="66"/>
      <c r="BA950" s="66"/>
      <c r="BB950" s="66"/>
      <c r="BC950" s="66"/>
      <c r="BD950" s="66"/>
      <c r="BE950" s="66"/>
      <c r="BF950" s="66"/>
      <c r="BG950" s="66"/>
      <c r="BH950" s="66"/>
      <c r="BI950" s="66"/>
      <c r="BJ950" s="66"/>
      <c r="BK950" s="66"/>
      <c r="BL950" s="66"/>
      <c r="BM950" s="66"/>
      <c r="BN950" s="66"/>
      <c r="BO950" s="66"/>
      <c r="BP950" s="66"/>
      <c r="BQ950" s="66"/>
      <c r="BR950" s="66"/>
      <c r="BS950" s="66"/>
      <c r="BT950" s="66"/>
      <c r="BU950" s="66"/>
      <c r="BV950" s="66"/>
      <c r="BW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  <c r="AS951" s="66"/>
      <c r="AT951" s="66"/>
      <c r="AU951" s="66"/>
      <c r="AV951" s="66"/>
      <c r="AW951" s="66"/>
      <c r="AX951" s="66"/>
      <c r="AY951" s="66"/>
      <c r="AZ951" s="66"/>
      <c r="BA951" s="66"/>
      <c r="BB951" s="66"/>
      <c r="BC951" s="66"/>
      <c r="BD951" s="66"/>
      <c r="BE951" s="66"/>
      <c r="BF951" s="66"/>
      <c r="BG951" s="66"/>
      <c r="BH951" s="66"/>
      <c r="BI951" s="66"/>
      <c r="BJ951" s="66"/>
      <c r="BK951" s="66"/>
      <c r="BL951" s="66"/>
      <c r="BM951" s="66"/>
      <c r="BN951" s="66"/>
      <c r="BO951" s="66"/>
      <c r="BP951" s="66"/>
      <c r="BQ951" s="66"/>
      <c r="BR951" s="66"/>
      <c r="BS951" s="66"/>
      <c r="BT951" s="66"/>
      <c r="BU951" s="66"/>
      <c r="BV951" s="66"/>
      <c r="BW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66"/>
      <c r="AU952" s="66"/>
      <c r="AV952" s="66"/>
      <c r="AW952" s="66"/>
      <c r="AX952" s="66"/>
      <c r="AY952" s="66"/>
      <c r="AZ952" s="66"/>
      <c r="BA952" s="66"/>
      <c r="BB952" s="66"/>
      <c r="BC952" s="66"/>
      <c r="BD952" s="66"/>
      <c r="BE952" s="66"/>
      <c r="BF952" s="66"/>
      <c r="BG952" s="66"/>
      <c r="BH952" s="66"/>
      <c r="BI952" s="66"/>
      <c r="BJ952" s="66"/>
      <c r="BK952" s="66"/>
      <c r="BL952" s="66"/>
      <c r="BM952" s="66"/>
      <c r="BN952" s="66"/>
      <c r="BO952" s="66"/>
      <c r="BP952" s="66"/>
      <c r="BQ952" s="66"/>
      <c r="BR952" s="66"/>
      <c r="BS952" s="66"/>
      <c r="BT952" s="66"/>
      <c r="BU952" s="66"/>
      <c r="BV952" s="66"/>
      <c r="BW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66"/>
      <c r="AU953" s="66"/>
      <c r="AV953" s="66"/>
      <c r="AW953" s="66"/>
      <c r="AX953" s="66"/>
      <c r="AY953" s="66"/>
      <c r="AZ953" s="66"/>
      <c r="BA953" s="66"/>
      <c r="BB953" s="66"/>
      <c r="BC953" s="66"/>
      <c r="BD953" s="66"/>
      <c r="BE953" s="66"/>
      <c r="BF953" s="66"/>
      <c r="BG953" s="66"/>
      <c r="BH953" s="66"/>
      <c r="BI953" s="66"/>
      <c r="BJ953" s="66"/>
      <c r="BK953" s="66"/>
      <c r="BL953" s="66"/>
      <c r="BM953" s="66"/>
      <c r="BN953" s="66"/>
      <c r="BO953" s="66"/>
      <c r="BP953" s="66"/>
      <c r="BQ953" s="66"/>
      <c r="BR953" s="66"/>
      <c r="BS953" s="66"/>
      <c r="BT953" s="66"/>
      <c r="BU953" s="66"/>
      <c r="BV953" s="66"/>
      <c r="BW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66"/>
      <c r="AU954" s="66"/>
      <c r="AV954" s="66"/>
      <c r="AW954" s="66"/>
      <c r="AX954" s="66"/>
      <c r="AY954" s="66"/>
      <c r="AZ954" s="66"/>
      <c r="BA954" s="66"/>
      <c r="BB954" s="66"/>
      <c r="BC954" s="66"/>
      <c r="BD954" s="66"/>
      <c r="BE954" s="66"/>
      <c r="BF954" s="66"/>
      <c r="BG954" s="66"/>
      <c r="BH954" s="66"/>
      <c r="BI954" s="66"/>
      <c r="BJ954" s="66"/>
      <c r="BK954" s="66"/>
      <c r="BL954" s="66"/>
      <c r="BM954" s="66"/>
      <c r="BN954" s="66"/>
      <c r="BO954" s="66"/>
      <c r="BP954" s="66"/>
      <c r="BQ954" s="66"/>
      <c r="BR954" s="66"/>
      <c r="BS954" s="66"/>
      <c r="BT954" s="66"/>
      <c r="BU954" s="66"/>
      <c r="BV954" s="66"/>
      <c r="BW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66"/>
      <c r="AU955" s="66"/>
      <c r="AV955" s="66"/>
      <c r="AW955" s="66"/>
      <c r="AX955" s="66"/>
      <c r="AY955" s="66"/>
      <c r="AZ955" s="66"/>
      <c r="BA955" s="66"/>
      <c r="BB955" s="66"/>
      <c r="BC955" s="66"/>
      <c r="BD955" s="66"/>
      <c r="BE955" s="66"/>
      <c r="BF955" s="66"/>
      <c r="BG955" s="66"/>
      <c r="BH955" s="66"/>
      <c r="BI955" s="66"/>
      <c r="BJ955" s="66"/>
      <c r="BK955" s="66"/>
      <c r="BL955" s="66"/>
      <c r="BM955" s="66"/>
      <c r="BN955" s="66"/>
      <c r="BO955" s="66"/>
      <c r="BP955" s="66"/>
      <c r="BQ955" s="66"/>
      <c r="BR955" s="66"/>
      <c r="BS955" s="66"/>
      <c r="BT955" s="66"/>
      <c r="BU955" s="66"/>
      <c r="BV955" s="66"/>
      <c r="BW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66"/>
      <c r="AU956" s="66"/>
      <c r="AV956" s="66"/>
      <c r="AW956" s="66"/>
      <c r="AX956" s="66"/>
      <c r="AY956" s="66"/>
      <c r="AZ956" s="66"/>
      <c r="BA956" s="66"/>
      <c r="BB956" s="66"/>
      <c r="BC956" s="66"/>
      <c r="BD956" s="66"/>
      <c r="BE956" s="66"/>
      <c r="BF956" s="66"/>
      <c r="BG956" s="66"/>
      <c r="BH956" s="66"/>
      <c r="BI956" s="66"/>
      <c r="BJ956" s="66"/>
      <c r="BK956" s="66"/>
      <c r="BL956" s="66"/>
      <c r="BM956" s="66"/>
      <c r="BN956" s="66"/>
      <c r="BO956" s="66"/>
      <c r="BP956" s="66"/>
      <c r="BQ956" s="66"/>
      <c r="BR956" s="66"/>
      <c r="BS956" s="66"/>
      <c r="BT956" s="66"/>
      <c r="BU956" s="66"/>
      <c r="BV956" s="66"/>
      <c r="BW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  <c r="AS957" s="66"/>
      <c r="AT957" s="66"/>
      <c r="AU957" s="66"/>
      <c r="AV957" s="66"/>
      <c r="AW957" s="66"/>
      <c r="AX957" s="66"/>
      <c r="AY957" s="66"/>
      <c r="AZ957" s="66"/>
      <c r="BA957" s="66"/>
      <c r="BB957" s="66"/>
      <c r="BC957" s="66"/>
      <c r="BD957" s="66"/>
      <c r="BE957" s="66"/>
      <c r="BF957" s="66"/>
      <c r="BG957" s="66"/>
      <c r="BH957" s="66"/>
      <c r="BI957" s="66"/>
      <c r="BJ957" s="66"/>
      <c r="BK957" s="66"/>
      <c r="BL957" s="66"/>
      <c r="BM957" s="66"/>
      <c r="BN957" s="66"/>
      <c r="BO957" s="66"/>
      <c r="BP957" s="66"/>
      <c r="BQ957" s="66"/>
      <c r="BR957" s="66"/>
      <c r="BS957" s="66"/>
      <c r="BT957" s="66"/>
      <c r="BU957" s="66"/>
      <c r="BV957" s="66"/>
      <c r="BW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66"/>
      <c r="AU958" s="66"/>
      <c r="AV958" s="66"/>
      <c r="AW958" s="66"/>
      <c r="AX958" s="66"/>
      <c r="AY958" s="66"/>
      <c r="AZ958" s="66"/>
      <c r="BA958" s="66"/>
      <c r="BB958" s="66"/>
      <c r="BC958" s="66"/>
      <c r="BD958" s="66"/>
      <c r="BE958" s="66"/>
      <c r="BF958" s="66"/>
      <c r="BG958" s="66"/>
      <c r="BH958" s="66"/>
      <c r="BI958" s="66"/>
      <c r="BJ958" s="66"/>
      <c r="BK958" s="66"/>
      <c r="BL958" s="66"/>
      <c r="BM958" s="66"/>
      <c r="BN958" s="66"/>
      <c r="BO958" s="66"/>
      <c r="BP958" s="66"/>
      <c r="BQ958" s="66"/>
      <c r="BR958" s="66"/>
      <c r="BS958" s="66"/>
      <c r="BT958" s="66"/>
      <c r="BU958" s="66"/>
      <c r="BV958" s="66"/>
      <c r="BW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66"/>
      <c r="AU959" s="66"/>
      <c r="AV959" s="66"/>
      <c r="AW959" s="66"/>
      <c r="AX959" s="66"/>
      <c r="AY959" s="66"/>
      <c r="AZ959" s="66"/>
      <c r="BA959" s="66"/>
      <c r="BB959" s="66"/>
      <c r="BC959" s="66"/>
      <c r="BD959" s="66"/>
      <c r="BE959" s="66"/>
      <c r="BF959" s="66"/>
      <c r="BG959" s="66"/>
      <c r="BH959" s="66"/>
      <c r="BI959" s="66"/>
      <c r="BJ959" s="66"/>
      <c r="BK959" s="66"/>
      <c r="BL959" s="66"/>
      <c r="BM959" s="66"/>
      <c r="BN959" s="66"/>
      <c r="BO959" s="66"/>
      <c r="BP959" s="66"/>
      <c r="BQ959" s="66"/>
      <c r="BR959" s="66"/>
      <c r="BS959" s="66"/>
      <c r="BT959" s="66"/>
      <c r="BU959" s="66"/>
      <c r="BV959" s="66"/>
      <c r="BW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66"/>
      <c r="AU960" s="66"/>
      <c r="AV960" s="66"/>
      <c r="AW960" s="66"/>
      <c r="AX960" s="66"/>
      <c r="AY960" s="66"/>
      <c r="AZ960" s="66"/>
      <c r="BA960" s="66"/>
      <c r="BB960" s="66"/>
      <c r="BC960" s="66"/>
      <c r="BD960" s="66"/>
      <c r="BE960" s="66"/>
      <c r="BF960" s="66"/>
      <c r="BG960" s="66"/>
      <c r="BH960" s="66"/>
      <c r="BI960" s="66"/>
      <c r="BJ960" s="66"/>
      <c r="BK960" s="66"/>
      <c r="BL960" s="66"/>
      <c r="BM960" s="66"/>
      <c r="BN960" s="66"/>
      <c r="BO960" s="66"/>
      <c r="BP960" s="66"/>
      <c r="BQ960" s="66"/>
      <c r="BR960" s="66"/>
      <c r="BS960" s="66"/>
      <c r="BT960" s="66"/>
      <c r="BU960" s="66"/>
      <c r="BV960" s="66"/>
      <c r="BW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66"/>
      <c r="AU961" s="66"/>
      <c r="AV961" s="66"/>
      <c r="AW961" s="66"/>
      <c r="AX961" s="66"/>
      <c r="AY961" s="66"/>
      <c r="AZ961" s="66"/>
      <c r="BA961" s="66"/>
      <c r="BB961" s="66"/>
      <c r="BC961" s="66"/>
      <c r="BD961" s="66"/>
      <c r="BE961" s="66"/>
      <c r="BF961" s="66"/>
      <c r="BG961" s="66"/>
      <c r="BH961" s="66"/>
      <c r="BI961" s="66"/>
      <c r="BJ961" s="66"/>
      <c r="BK961" s="66"/>
      <c r="BL961" s="66"/>
      <c r="BM961" s="66"/>
      <c r="BN961" s="66"/>
      <c r="BO961" s="66"/>
      <c r="BP961" s="66"/>
      <c r="BQ961" s="66"/>
      <c r="BR961" s="66"/>
      <c r="BS961" s="66"/>
      <c r="BT961" s="66"/>
      <c r="BU961" s="66"/>
      <c r="BV961" s="66"/>
      <c r="BW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  <c r="AS962" s="66"/>
      <c r="AT962" s="66"/>
      <c r="AU962" s="66"/>
      <c r="AV962" s="66"/>
      <c r="AW962" s="66"/>
      <c r="AX962" s="66"/>
      <c r="AY962" s="66"/>
      <c r="AZ962" s="66"/>
      <c r="BA962" s="66"/>
      <c r="BB962" s="66"/>
      <c r="BC962" s="66"/>
      <c r="BD962" s="66"/>
      <c r="BE962" s="66"/>
      <c r="BF962" s="66"/>
      <c r="BG962" s="66"/>
      <c r="BH962" s="66"/>
      <c r="BI962" s="66"/>
      <c r="BJ962" s="66"/>
      <c r="BK962" s="66"/>
      <c r="BL962" s="66"/>
      <c r="BM962" s="66"/>
      <c r="BN962" s="66"/>
      <c r="BO962" s="66"/>
      <c r="BP962" s="66"/>
      <c r="BQ962" s="66"/>
      <c r="BR962" s="66"/>
      <c r="BS962" s="66"/>
      <c r="BT962" s="66"/>
      <c r="BU962" s="66"/>
      <c r="BV962" s="66"/>
      <c r="BW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6"/>
      <c r="AS963" s="66"/>
      <c r="AT963" s="66"/>
      <c r="AU963" s="66"/>
      <c r="AV963" s="66"/>
      <c r="AW963" s="66"/>
      <c r="AX963" s="66"/>
      <c r="AY963" s="66"/>
      <c r="AZ963" s="66"/>
      <c r="BA963" s="66"/>
      <c r="BB963" s="66"/>
      <c r="BC963" s="66"/>
      <c r="BD963" s="66"/>
      <c r="BE963" s="66"/>
      <c r="BF963" s="66"/>
      <c r="BG963" s="66"/>
      <c r="BH963" s="66"/>
      <c r="BI963" s="66"/>
      <c r="BJ963" s="66"/>
      <c r="BK963" s="66"/>
      <c r="BL963" s="66"/>
      <c r="BM963" s="66"/>
      <c r="BN963" s="66"/>
      <c r="BO963" s="66"/>
      <c r="BP963" s="66"/>
      <c r="BQ963" s="66"/>
      <c r="BR963" s="66"/>
      <c r="BS963" s="66"/>
      <c r="BT963" s="66"/>
      <c r="BU963" s="66"/>
      <c r="BV963" s="66"/>
      <c r="BW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  <c r="AS964" s="66"/>
      <c r="AT964" s="66"/>
      <c r="AU964" s="66"/>
      <c r="AV964" s="66"/>
      <c r="AW964" s="66"/>
      <c r="AX964" s="66"/>
      <c r="AY964" s="66"/>
      <c r="AZ964" s="66"/>
      <c r="BA964" s="66"/>
      <c r="BB964" s="66"/>
      <c r="BC964" s="66"/>
      <c r="BD964" s="66"/>
      <c r="BE964" s="66"/>
      <c r="BF964" s="66"/>
      <c r="BG964" s="66"/>
      <c r="BH964" s="66"/>
      <c r="BI964" s="66"/>
      <c r="BJ964" s="66"/>
      <c r="BK964" s="66"/>
      <c r="BL964" s="66"/>
      <c r="BM964" s="66"/>
      <c r="BN964" s="66"/>
      <c r="BO964" s="66"/>
      <c r="BP964" s="66"/>
      <c r="BQ964" s="66"/>
      <c r="BR964" s="66"/>
      <c r="BS964" s="66"/>
      <c r="BT964" s="66"/>
      <c r="BU964" s="66"/>
      <c r="BV964" s="66"/>
      <c r="BW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66"/>
      <c r="AU965" s="66"/>
      <c r="AV965" s="66"/>
      <c r="AW965" s="66"/>
      <c r="AX965" s="66"/>
      <c r="AY965" s="66"/>
      <c r="AZ965" s="66"/>
      <c r="BA965" s="66"/>
      <c r="BB965" s="66"/>
      <c r="BC965" s="66"/>
      <c r="BD965" s="66"/>
      <c r="BE965" s="66"/>
      <c r="BF965" s="66"/>
      <c r="BG965" s="66"/>
      <c r="BH965" s="66"/>
      <c r="BI965" s="66"/>
      <c r="BJ965" s="66"/>
      <c r="BK965" s="66"/>
      <c r="BL965" s="66"/>
      <c r="BM965" s="66"/>
      <c r="BN965" s="66"/>
      <c r="BO965" s="66"/>
      <c r="BP965" s="66"/>
      <c r="BQ965" s="66"/>
      <c r="BR965" s="66"/>
      <c r="BS965" s="66"/>
      <c r="BT965" s="66"/>
      <c r="BU965" s="66"/>
      <c r="BV965" s="66"/>
      <c r="BW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  <c r="AS966" s="66"/>
      <c r="AT966" s="66"/>
      <c r="AU966" s="66"/>
      <c r="AV966" s="66"/>
      <c r="AW966" s="66"/>
      <c r="AX966" s="66"/>
      <c r="AY966" s="66"/>
      <c r="AZ966" s="66"/>
      <c r="BA966" s="66"/>
      <c r="BB966" s="66"/>
      <c r="BC966" s="66"/>
      <c r="BD966" s="66"/>
      <c r="BE966" s="66"/>
      <c r="BF966" s="66"/>
      <c r="BG966" s="66"/>
      <c r="BH966" s="66"/>
      <c r="BI966" s="66"/>
      <c r="BJ966" s="66"/>
      <c r="BK966" s="66"/>
      <c r="BL966" s="66"/>
      <c r="BM966" s="66"/>
      <c r="BN966" s="66"/>
      <c r="BO966" s="66"/>
      <c r="BP966" s="66"/>
      <c r="BQ966" s="66"/>
      <c r="BR966" s="66"/>
      <c r="BS966" s="66"/>
      <c r="BT966" s="66"/>
      <c r="BU966" s="66"/>
      <c r="BV966" s="66"/>
      <c r="BW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66"/>
      <c r="AU967" s="66"/>
      <c r="AV967" s="66"/>
      <c r="AW967" s="66"/>
      <c r="AX967" s="66"/>
      <c r="AY967" s="66"/>
      <c r="AZ967" s="66"/>
      <c r="BA967" s="66"/>
      <c r="BB967" s="66"/>
      <c r="BC967" s="66"/>
      <c r="BD967" s="66"/>
      <c r="BE967" s="66"/>
      <c r="BF967" s="66"/>
      <c r="BG967" s="66"/>
      <c r="BH967" s="66"/>
      <c r="BI967" s="66"/>
      <c r="BJ967" s="66"/>
      <c r="BK967" s="66"/>
      <c r="BL967" s="66"/>
      <c r="BM967" s="66"/>
      <c r="BN967" s="66"/>
      <c r="BO967" s="66"/>
      <c r="BP967" s="66"/>
      <c r="BQ967" s="66"/>
      <c r="BR967" s="66"/>
      <c r="BS967" s="66"/>
      <c r="BT967" s="66"/>
      <c r="BU967" s="66"/>
      <c r="BV967" s="66"/>
      <c r="BW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66"/>
      <c r="AU968" s="66"/>
      <c r="AV968" s="66"/>
      <c r="AW968" s="66"/>
      <c r="AX968" s="66"/>
      <c r="AY968" s="66"/>
      <c r="AZ968" s="66"/>
      <c r="BA968" s="66"/>
      <c r="BB968" s="66"/>
      <c r="BC968" s="66"/>
      <c r="BD968" s="66"/>
      <c r="BE968" s="66"/>
      <c r="BF968" s="66"/>
      <c r="BG968" s="66"/>
      <c r="BH968" s="66"/>
      <c r="BI968" s="66"/>
      <c r="BJ968" s="66"/>
      <c r="BK968" s="66"/>
      <c r="BL968" s="66"/>
      <c r="BM968" s="66"/>
      <c r="BN968" s="66"/>
      <c r="BO968" s="66"/>
      <c r="BP968" s="66"/>
      <c r="BQ968" s="66"/>
      <c r="BR968" s="66"/>
      <c r="BS968" s="66"/>
      <c r="BT968" s="66"/>
      <c r="BU968" s="66"/>
      <c r="BV968" s="66"/>
      <c r="BW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66"/>
      <c r="AU969" s="66"/>
      <c r="AV969" s="66"/>
      <c r="AW969" s="66"/>
      <c r="AX969" s="66"/>
      <c r="AY969" s="66"/>
      <c r="AZ969" s="66"/>
      <c r="BA969" s="66"/>
      <c r="BB969" s="66"/>
      <c r="BC969" s="66"/>
      <c r="BD969" s="66"/>
      <c r="BE969" s="66"/>
      <c r="BF969" s="66"/>
      <c r="BG969" s="66"/>
      <c r="BH969" s="66"/>
      <c r="BI969" s="66"/>
      <c r="BJ969" s="66"/>
      <c r="BK969" s="66"/>
      <c r="BL969" s="66"/>
      <c r="BM969" s="66"/>
      <c r="BN969" s="66"/>
      <c r="BO969" s="66"/>
      <c r="BP969" s="66"/>
      <c r="BQ969" s="66"/>
      <c r="BR969" s="66"/>
      <c r="BS969" s="66"/>
      <c r="BT969" s="66"/>
      <c r="BU969" s="66"/>
      <c r="BV969" s="66"/>
      <c r="BW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6"/>
      <c r="AS970" s="66"/>
      <c r="AT970" s="66"/>
      <c r="AU970" s="66"/>
      <c r="AV970" s="66"/>
      <c r="AW970" s="66"/>
      <c r="AX970" s="66"/>
      <c r="AY970" s="66"/>
      <c r="AZ970" s="66"/>
      <c r="BA970" s="66"/>
      <c r="BB970" s="66"/>
      <c r="BC970" s="66"/>
      <c r="BD970" s="66"/>
      <c r="BE970" s="66"/>
      <c r="BF970" s="66"/>
      <c r="BG970" s="66"/>
      <c r="BH970" s="66"/>
      <c r="BI970" s="66"/>
      <c r="BJ970" s="66"/>
      <c r="BK970" s="66"/>
      <c r="BL970" s="66"/>
      <c r="BM970" s="66"/>
      <c r="BN970" s="66"/>
      <c r="BO970" s="66"/>
      <c r="BP970" s="66"/>
      <c r="BQ970" s="66"/>
      <c r="BR970" s="66"/>
      <c r="BS970" s="66"/>
      <c r="BT970" s="66"/>
      <c r="BU970" s="66"/>
      <c r="BV970" s="66"/>
      <c r="BW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  <c r="AS971" s="66"/>
      <c r="AT971" s="66"/>
      <c r="AU971" s="66"/>
      <c r="AV971" s="66"/>
      <c r="AW971" s="66"/>
      <c r="AX971" s="66"/>
      <c r="AY971" s="66"/>
      <c r="AZ971" s="66"/>
      <c r="BA971" s="66"/>
      <c r="BB971" s="66"/>
      <c r="BC971" s="66"/>
      <c r="BD971" s="66"/>
      <c r="BE971" s="66"/>
      <c r="BF971" s="66"/>
      <c r="BG971" s="66"/>
      <c r="BH971" s="66"/>
      <c r="BI971" s="66"/>
      <c r="BJ971" s="66"/>
      <c r="BK971" s="66"/>
      <c r="BL971" s="66"/>
      <c r="BM971" s="66"/>
      <c r="BN971" s="66"/>
      <c r="BO971" s="66"/>
      <c r="BP971" s="66"/>
      <c r="BQ971" s="66"/>
      <c r="BR971" s="66"/>
      <c r="BS971" s="66"/>
      <c r="BT971" s="66"/>
      <c r="BU971" s="66"/>
      <c r="BV971" s="66"/>
      <c r="BW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  <c r="AS972" s="66"/>
      <c r="AT972" s="66"/>
      <c r="AU972" s="66"/>
      <c r="AV972" s="66"/>
      <c r="AW972" s="66"/>
      <c r="AX972" s="66"/>
      <c r="AY972" s="66"/>
      <c r="AZ972" s="66"/>
      <c r="BA972" s="66"/>
      <c r="BB972" s="66"/>
      <c r="BC972" s="66"/>
      <c r="BD972" s="66"/>
      <c r="BE972" s="66"/>
      <c r="BF972" s="66"/>
      <c r="BG972" s="66"/>
      <c r="BH972" s="66"/>
      <c r="BI972" s="66"/>
      <c r="BJ972" s="66"/>
      <c r="BK972" s="66"/>
      <c r="BL972" s="66"/>
      <c r="BM972" s="66"/>
      <c r="BN972" s="66"/>
      <c r="BO972" s="66"/>
      <c r="BP972" s="66"/>
      <c r="BQ972" s="66"/>
      <c r="BR972" s="66"/>
      <c r="BS972" s="66"/>
      <c r="BT972" s="66"/>
      <c r="BU972" s="66"/>
      <c r="BV972" s="66"/>
      <c r="BW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66"/>
      <c r="AU973" s="66"/>
      <c r="AV973" s="66"/>
      <c r="AW973" s="66"/>
      <c r="AX973" s="66"/>
      <c r="AY973" s="66"/>
      <c r="AZ973" s="66"/>
      <c r="BA973" s="66"/>
      <c r="BB973" s="66"/>
      <c r="BC973" s="66"/>
      <c r="BD973" s="66"/>
      <c r="BE973" s="66"/>
      <c r="BF973" s="66"/>
      <c r="BG973" s="66"/>
      <c r="BH973" s="66"/>
      <c r="BI973" s="66"/>
      <c r="BJ973" s="66"/>
      <c r="BK973" s="66"/>
      <c r="BL973" s="66"/>
      <c r="BM973" s="66"/>
      <c r="BN973" s="66"/>
      <c r="BO973" s="66"/>
      <c r="BP973" s="66"/>
      <c r="BQ973" s="66"/>
      <c r="BR973" s="66"/>
      <c r="BS973" s="66"/>
      <c r="BT973" s="66"/>
      <c r="BU973" s="66"/>
      <c r="BV973" s="66"/>
      <c r="BW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  <c r="AS974" s="66"/>
      <c r="AT974" s="66"/>
      <c r="AU974" s="66"/>
      <c r="AV974" s="66"/>
      <c r="AW974" s="66"/>
      <c r="AX974" s="66"/>
      <c r="AY974" s="66"/>
      <c r="AZ974" s="66"/>
      <c r="BA974" s="66"/>
      <c r="BB974" s="66"/>
      <c r="BC974" s="66"/>
      <c r="BD974" s="66"/>
      <c r="BE974" s="66"/>
      <c r="BF974" s="66"/>
      <c r="BG974" s="66"/>
      <c r="BH974" s="66"/>
      <c r="BI974" s="66"/>
      <c r="BJ974" s="66"/>
      <c r="BK974" s="66"/>
      <c r="BL974" s="66"/>
      <c r="BM974" s="66"/>
      <c r="BN974" s="66"/>
      <c r="BO974" s="66"/>
      <c r="BP974" s="66"/>
      <c r="BQ974" s="66"/>
      <c r="BR974" s="66"/>
      <c r="BS974" s="66"/>
      <c r="BT974" s="66"/>
      <c r="BU974" s="66"/>
      <c r="BV974" s="66"/>
      <c r="BW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66"/>
      <c r="AU975" s="66"/>
      <c r="AV975" s="66"/>
      <c r="AW975" s="66"/>
      <c r="AX975" s="66"/>
      <c r="AY975" s="66"/>
      <c r="AZ975" s="66"/>
      <c r="BA975" s="66"/>
      <c r="BB975" s="66"/>
      <c r="BC975" s="66"/>
      <c r="BD975" s="66"/>
      <c r="BE975" s="66"/>
      <c r="BF975" s="66"/>
      <c r="BG975" s="66"/>
      <c r="BH975" s="66"/>
      <c r="BI975" s="66"/>
      <c r="BJ975" s="66"/>
      <c r="BK975" s="66"/>
      <c r="BL975" s="66"/>
      <c r="BM975" s="66"/>
      <c r="BN975" s="66"/>
      <c r="BO975" s="66"/>
      <c r="BP975" s="66"/>
      <c r="BQ975" s="66"/>
      <c r="BR975" s="66"/>
      <c r="BS975" s="66"/>
      <c r="BT975" s="66"/>
      <c r="BU975" s="66"/>
      <c r="BV975" s="66"/>
      <c r="BW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66"/>
      <c r="AU976" s="66"/>
      <c r="AV976" s="66"/>
      <c r="AW976" s="66"/>
      <c r="AX976" s="66"/>
      <c r="AY976" s="66"/>
      <c r="AZ976" s="66"/>
      <c r="BA976" s="66"/>
      <c r="BB976" s="66"/>
      <c r="BC976" s="66"/>
      <c r="BD976" s="66"/>
      <c r="BE976" s="66"/>
      <c r="BF976" s="66"/>
      <c r="BG976" s="66"/>
      <c r="BH976" s="66"/>
      <c r="BI976" s="66"/>
      <c r="BJ976" s="66"/>
      <c r="BK976" s="66"/>
      <c r="BL976" s="66"/>
      <c r="BM976" s="66"/>
      <c r="BN976" s="66"/>
      <c r="BO976" s="66"/>
      <c r="BP976" s="66"/>
      <c r="BQ976" s="66"/>
      <c r="BR976" s="66"/>
      <c r="BS976" s="66"/>
      <c r="BT976" s="66"/>
      <c r="BU976" s="66"/>
      <c r="BV976" s="66"/>
      <c r="BW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66"/>
      <c r="AU977" s="66"/>
      <c r="AV977" s="66"/>
      <c r="AW977" s="66"/>
      <c r="AX977" s="66"/>
      <c r="AY977" s="66"/>
      <c r="AZ977" s="66"/>
      <c r="BA977" s="66"/>
      <c r="BB977" s="66"/>
      <c r="BC977" s="66"/>
      <c r="BD977" s="66"/>
      <c r="BE977" s="66"/>
      <c r="BF977" s="66"/>
      <c r="BG977" s="66"/>
      <c r="BH977" s="66"/>
      <c r="BI977" s="66"/>
      <c r="BJ977" s="66"/>
      <c r="BK977" s="66"/>
      <c r="BL977" s="66"/>
      <c r="BM977" s="66"/>
      <c r="BN977" s="66"/>
      <c r="BO977" s="66"/>
      <c r="BP977" s="66"/>
      <c r="BQ977" s="66"/>
      <c r="BR977" s="66"/>
      <c r="BS977" s="66"/>
      <c r="BT977" s="66"/>
      <c r="BU977" s="66"/>
      <c r="BV977" s="66"/>
      <c r="BW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66"/>
      <c r="AU978" s="66"/>
      <c r="AV978" s="66"/>
      <c r="AW978" s="66"/>
      <c r="AX978" s="66"/>
      <c r="AY978" s="66"/>
      <c r="AZ978" s="66"/>
      <c r="BA978" s="66"/>
      <c r="BB978" s="66"/>
      <c r="BC978" s="66"/>
      <c r="BD978" s="66"/>
      <c r="BE978" s="66"/>
      <c r="BF978" s="66"/>
      <c r="BG978" s="66"/>
      <c r="BH978" s="66"/>
      <c r="BI978" s="66"/>
      <c r="BJ978" s="66"/>
      <c r="BK978" s="66"/>
      <c r="BL978" s="66"/>
      <c r="BM978" s="66"/>
      <c r="BN978" s="66"/>
      <c r="BO978" s="66"/>
      <c r="BP978" s="66"/>
      <c r="BQ978" s="66"/>
      <c r="BR978" s="66"/>
      <c r="BS978" s="66"/>
      <c r="BT978" s="66"/>
      <c r="BU978" s="66"/>
      <c r="BV978" s="66"/>
      <c r="BW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66"/>
      <c r="AU979" s="66"/>
      <c r="AV979" s="66"/>
      <c r="AW979" s="66"/>
      <c r="AX979" s="66"/>
      <c r="AY979" s="66"/>
      <c r="AZ979" s="66"/>
      <c r="BA979" s="66"/>
      <c r="BB979" s="66"/>
      <c r="BC979" s="66"/>
      <c r="BD979" s="66"/>
      <c r="BE979" s="66"/>
      <c r="BF979" s="66"/>
      <c r="BG979" s="66"/>
      <c r="BH979" s="66"/>
      <c r="BI979" s="66"/>
      <c r="BJ979" s="66"/>
      <c r="BK979" s="66"/>
      <c r="BL979" s="66"/>
      <c r="BM979" s="66"/>
      <c r="BN979" s="66"/>
      <c r="BO979" s="66"/>
      <c r="BP979" s="66"/>
      <c r="BQ979" s="66"/>
      <c r="BR979" s="66"/>
      <c r="BS979" s="66"/>
      <c r="BT979" s="66"/>
      <c r="BU979" s="66"/>
      <c r="BV979" s="66"/>
      <c r="BW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66"/>
      <c r="AU980" s="66"/>
      <c r="AV980" s="66"/>
      <c r="AW980" s="66"/>
      <c r="AX980" s="66"/>
      <c r="AY980" s="66"/>
      <c r="AZ980" s="66"/>
      <c r="BA980" s="66"/>
      <c r="BB980" s="66"/>
      <c r="BC980" s="66"/>
      <c r="BD980" s="66"/>
      <c r="BE980" s="66"/>
      <c r="BF980" s="66"/>
      <c r="BG980" s="66"/>
      <c r="BH980" s="66"/>
      <c r="BI980" s="66"/>
      <c r="BJ980" s="66"/>
      <c r="BK980" s="66"/>
      <c r="BL980" s="66"/>
      <c r="BM980" s="66"/>
      <c r="BN980" s="66"/>
      <c r="BO980" s="66"/>
      <c r="BP980" s="66"/>
      <c r="BQ980" s="66"/>
      <c r="BR980" s="66"/>
      <c r="BS980" s="66"/>
      <c r="BT980" s="66"/>
      <c r="BU980" s="66"/>
      <c r="BV980" s="66"/>
      <c r="BW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66"/>
      <c r="AU981" s="66"/>
      <c r="AV981" s="66"/>
      <c r="AW981" s="66"/>
      <c r="AX981" s="66"/>
      <c r="AY981" s="66"/>
      <c r="AZ981" s="66"/>
      <c r="BA981" s="66"/>
      <c r="BB981" s="66"/>
      <c r="BC981" s="66"/>
      <c r="BD981" s="66"/>
      <c r="BE981" s="66"/>
      <c r="BF981" s="66"/>
      <c r="BG981" s="66"/>
      <c r="BH981" s="66"/>
      <c r="BI981" s="66"/>
      <c r="BJ981" s="66"/>
      <c r="BK981" s="66"/>
      <c r="BL981" s="66"/>
      <c r="BM981" s="66"/>
      <c r="BN981" s="66"/>
      <c r="BO981" s="66"/>
      <c r="BP981" s="66"/>
      <c r="BQ981" s="66"/>
      <c r="BR981" s="66"/>
      <c r="BS981" s="66"/>
      <c r="BT981" s="66"/>
      <c r="BU981" s="66"/>
      <c r="BV981" s="66"/>
      <c r="BW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66"/>
      <c r="AU982" s="66"/>
      <c r="AV982" s="66"/>
      <c r="AW982" s="66"/>
      <c r="AX982" s="66"/>
      <c r="AY982" s="66"/>
      <c r="AZ982" s="66"/>
      <c r="BA982" s="66"/>
      <c r="BB982" s="66"/>
      <c r="BC982" s="66"/>
      <c r="BD982" s="66"/>
      <c r="BE982" s="66"/>
      <c r="BF982" s="66"/>
      <c r="BG982" s="66"/>
      <c r="BH982" s="66"/>
      <c r="BI982" s="66"/>
      <c r="BJ982" s="66"/>
      <c r="BK982" s="66"/>
      <c r="BL982" s="66"/>
      <c r="BM982" s="66"/>
      <c r="BN982" s="66"/>
      <c r="BO982" s="66"/>
      <c r="BP982" s="66"/>
      <c r="BQ982" s="66"/>
      <c r="BR982" s="66"/>
      <c r="BS982" s="66"/>
      <c r="BT982" s="66"/>
      <c r="BU982" s="66"/>
      <c r="BV982" s="66"/>
      <c r="BW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66"/>
      <c r="AU983" s="66"/>
      <c r="AV983" s="66"/>
      <c r="AW983" s="66"/>
      <c r="AX983" s="66"/>
      <c r="AY983" s="66"/>
      <c r="AZ983" s="66"/>
      <c r="BA983" s="66"/>
      <c r="BB983" s="66"/>
      <c r="BC983" s="66"/>
      <c r="BD983" s="66"/>
      <c r="BE983" s="66"/>
      <c r="BF983" s="66"/>
      <c r="BG983" s="66"/>
      <c r="BH983" s="66"/>
      <c r="BI983" s="66"/>
      <c r="BJ983" s="66"/>
      <c r="BK983" s="66"/>
      <c r="BL983" s="66"/>
      <c r="BM983" s="66"/>
      <c r="BN983" s="66"/>
      <c r="BO983" s="66"/>
      <c r="BP983" s="66"/>
      <c r="BQ983" s="66"/>
      <c r="BR983" s="66"/>
      <c r="BS983" s="66"/>
      <c r="BT983" s="66"/>
      <c r="BU983" s="66"/>
      <c r="BV983" s="66"/>
      <c r="BW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66"/>
      <c r="AU984" s="66"/>
      <c r="AV984" s="66"/>
      <c r="AW984" s="66"/>
      <c r="AX984" s="66"/>
      <c r="AY984" s="66"/>
      <c r="AZ984" s="66"/>
      <c r="BA984" s="66"/>
      <c r="BB984" s="66"/>
      <c r="BC984" s="66"/>
      <c r="BD984" s="66"/>
      <c r="BE984" s="66"/>
      <c r="BF984" s="66"/>
      <c r="BG984" s="66"/>
      <c r="BH984" s="66"/>
      <c r="BI984" s="66"/>
      <c r="BJ984" s="66"/>
      <c r="BK984" s="66"/>
      <c r="BL984" s="66"/>
      <c r="BM984" s="66"/>
      <c r="BN984" s="66"/>
      <c r="BO984" s="66"/>
      <c r="BP984" s="66"/>
      <c r="BQ984" s="66"/>
      <c r="BR984" s="66"/>
      <c r="BS984" s="66"/>
      <c r="BT984" s="66"/>
      <c r="BU984" s="66"/>
      <c r="BV984" s="66"/>
      <c r="BW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66"/>
      <c r="AU985" s="66"/>
      <c r="AV985" s="66"/>
      <c r="AW985" s="66"/>
      <c r="AX985" s="66"/>
      <c r="AY985" s="66"/>
      <c r="AZ985" s="66"/>
      <c r="BA985" s="66"/>
      <c r="BB985" s="66"/>
      <c r="BC985" s="66"/>
      <c r="BD985" s="66"/>
      <c r="BE985" s="66"/>
      <c r="BF985" s="66"/>
      <c r="BG985" s="66"/>
      <c r="BH985" s="66"/>
      <c r="BI985" s="66"/>
      <c r="BJ985" s="66"/>
      <c r="BK985" s="66"/>
      <c r="BL985" s="66"/>
      <c r="BM985" s="66"/>
      <c r="BN985" s="66"/>
      <c r="BO985" s="66"/>
      <c r="BP985" s="66"/>
      <c r="BQ985" s="66"/>
      <c r="BR985" s="66"/>
      <c r="BS985" s="66"/>
      <c r="BT985" s="66"/>
      <c r="BU985" s="66"/>
      <c r="BV985" s="66"/>
      <c r="BW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  <c r="AS986" s="66"/>
      <c r="AT986" s="66"/>
      <c r="AU986" s="66"/>
      <c r="AV986" s="66"/>
      <c r="AW986" s="66"/>
      <c r="AX986" s="66"/>
      <c r="AY986" s="66"/>
      <c r="AZ986" s="66"/>
      <c r="BA986" s="66"/>
      <c r="BB986" s="66"/>
      <c r="BC986" s="66"/>
      <c r="BD986" s="66"/>
      <c r="BE986" s="66"/>
      <c r="BF986" s="66"/>
      <c r="BG986" s="66"/>
      <c r="BH986" s="66"/>
      <c r="BI986" s="66"/>
      <c r="BJ986" s="66"/>
      <c r="BK986" s="66"/>
      <c r="BL986" s="66"/>
      <c r="BM986" s="66"/>
      <c r="BN986" s="66"/>
      <c r="BO986" s="66"/>
      <c r="BP986" s="66"/>
      <c r="BQ986" s="66"/>
      <c r="BR986" s="66"/>
      <c r="BS986" s="66"/>
      <c r="BT986" s="66"/>
      <c r="BU986" s="66"/>
      <c r="BV986" s="66"/>
      <c r="BW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66"/>
      <c r="AU987" s="66"/>
      <c r="AV987" s="66"/>
      <c r="AW987" s="66"/>
      <c r="AX987" s="66"/>
      <c r="AY987" s="66"/>
      <c r="AZ987" s="66"/>
      <c r="BA987" s="66"/>
      <c r="BB987" s="66"/>
      <c r="BC987" s="66"/>
      <c r="BD987" s="66"/>
      <c r="BE987" s="66"/>
      <c r="BF987" s="66"/>
      <c r="BG987" s="66"/>
      <c r="BH987" s="66"/>
      <c r="BI987" s="66"/>
      <c r="BJ987" s="66"/>
      <c r="BK987" s="66"/>
      <c r="BL987" s="66"/>
      <c r="BM987" s="66"/>
      <c r="BN987" s="66"/>
      <c r="BO987" s="66"/>
      <c r="BP987" s="66"/>
      <c r="BQ987" s="66"/>
      <c r="BR987" s="66"/>
      <c r="BS987" s="66"/>
      <c r="BT987" s="66"/>
      <c r="BU987" s="66"/>
      <c r="BV987" s="66"/>
      <c r="BW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66"/>
      <c r="AU988" s="66"/>
      <c r="AV988" s="66"/>
      <c r="AW988" s="66"/>
      <c r="AX988" s="66"/>
      <c r="AY988" s="66"/>
      <c r="AZ988" s="66"/>
      <c r="BA988" s="66"/>
      <c r="BB988" s="66"/>
      <c r="BC988" s="66"/>
      <c r="BD988" s="66"/>
      <c r="BE988" s="66"/>
      <c r="BF988" s="66"/>
      <c r="BG988" s="66"/>
      <c r="BH988" s="66"/>
      <c r="BI988" s="66"/>
      <c r="BJ988" s="66"/>
      <c r="BK988" s="66"/>
      <c r="BL988" s="66"/>
      <c r="BM988" s="66"/>
      <c r="BN988" s="66"/>
      <c r="BO988" s="66"/>
      <c r="BP988" s="66"/>
      <c r="BQ988" s="66"/>
      <c r="BR988" s="66"/>
      <c r="BS988" s="66"/>
      <c r="BT988" s="66"/>
      <c r="BU988" s="66"/>
      <c r="BV988" s="66"/>
      <c r="BW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66"/>
      <c r="AU989" s="66"/>
      <c r="AV989" s="66"/>
      <c r="AW989" s="66"/>
      <c r="AX989" s="66"/>
      <c r="AY989" s="66"/>
      <c r="AZ989" s="66"/>
      <c r="BA989" s="66"/>
      <c r="BB989" s="66"/>
      <c r="BC989" s="66"/>
      <c r="BD989" s="66"/>
      <c r="BE989" s="66"/>
      <c r="BF989" s="66"/>
      <c r="BG989" s="66"/>
      <c r="BH989" s="66"/>
      <c r="BI989" s="66"/>
      <c r="BJ989" s="66"/>
      <c r="BK989" s="66"/>
      <c r="BL989" s="66"/>
      <c r="BM989" s="66"/>
      <c r="BN989" s="66"/>
      <c r="BO989" s="66"/>
      <c r="BP989" s="66"/>
      <c r="BQ989" s="66"/>
      <c r="BR989" s="66"/>
      <c r="BS989" s="66"/>
      <c r="BT989" s="66"/>
      <c r="BU989" s="66"/>
      <c r="BV989" s="66"/>
      <c r="BW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66"/>
      <c r="AZ990" s="66"/>
      <c r="BA990" s="66"/>
      <c r="BB990" s="66"/>
      <c r="BC990" s="66"/>
      <c r="BD990" s="66"/>
      <c r="BE990" s="66"/>
      <c r="BF990" s="66"/>
      <c r="BG990" s="66"/>
      <c r="BH990" s="66"/>
      <c r="BI990" s="66"/>
      <c r="BJ990" s="66"/>
      <c r="BK990" s="66"/>
      <c r="BL990" s="66"/>
      <c r="BM990" s="66"/>
      <c r="BN990" s="66"/>
      <c r="BO990" s="66"/>
      <c r="BP990" s="66"/>
      <c r="BQ990" s="66"/>
      <c r="BR990" s="66"/>
      <c r="BS990" s="66"/>
      <c r="BT990" s="66"/>
      <c r="BU990" s="66"/>
      <c r="BV990" s="66"/>
      <c r="BW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66"/>
      <c r="AZ991" s="66"/>
      <c r="BA991" s="66"/>
      <c r="BB991" s="66"/>
      <c r="BC991" s="66"/>
      <c r="BD991" s="66"/>
      <c r="BE991" s="66"/>
      <c r="BF991" s="66"/>
      <c r="BG991" s="66"/>
      <c r="BH991" s="66"/>
      <c r="BI991" s="66"/>
      <c r="BJ991" s="66"/>
      <c r="BK991" s="66"/>
      <c r="BL991" s="66"/>
      <c r="BM991" s="66"/>
      <c r="BN991" s="66"/>
      <c r="BO991" s="66"/>
      <c r="BP991" s="66"/>
      <c r="BQ991" s="66"/>
      <c r="BR991" s="66"/>
      <c r="BS991" s="66"/>
      <c r="BT991" s="66"/>
      <c r="BU991" s="66"/>
      <c r="BV991" s="66"/>
      <c r="BW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66"/>
      <c r="AU992" s="66"/>
      <c r="AV992" s="66"/>
      <c r="AW992" s="66"/>
      <c r="AX992" s="66"/>
      <c r="AY992" s="66"/>
      <c r="AZ992" s="66"/>
      <c r="BA992" s="66"/>
      <c r="BB992" s="66"/>
      <c r="BC992" s="66"/>
      <c r="BD992" s="66"/>
      <c r="BE992" s="66"/>
      <c r="BF992" s="66"/>
      <c r="BG992" s="66"/>
      <c r="BH992" s="66"/>
      <c r="BI992" s="66"/>
      <c r="BJ992" s="66"/>
      <c r="BK992" s="66"/>
      <c r="BL992" s="66"/>
      <c r="BM992" s="66"/>
      <c r="BN992" s="66"/>
      <c r="BO992" s="66"/>
      <c r="BP992" s="66"/>
      <c r="BQ992" s="66"/>
      <c r="BR992" s="66"/>
      <c r="BS992" s="66"/>
      <c r="BT992" s="66"/>
      <c r="BU992" s="66"/>
      <c r="BV992" s="66"/>
      <c r="BW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66"/>
      <c r="AZ993" s="66"/>
      <c r="BA993" s="66"/>
      <c r="BB993" s="66"/>
      <c r="BC993" s="66"/>
      <c r="BD993" s="66"/>
      <c r="BE993" s="66"/>
      <c r="BF993" s="66"/>
      <c r="BG993" s="66"/>
      <c r="BH993" s="66"/>
      <c r="BI993" s="66"/>
      <c r="BJ993" s="66"/>
      <c r="BK993" s="66"/>
      <c r="BL993" s="66"/>
      <c r="BM993" s="66"/>
      <c r="BN993" s="66"/>
      <c r="BO993" s="66"/>
      <c r="BP993" s="66"/>
      <c r="BQ993" s="66"/>
      <c r="BR993" s="66"/>
      <c r="BS993" s="66"/>
      <c r="BT993" s="66"/>
      <c r="BU993" s="66"/>
      <c r="BV993" s="66"/>
      <c r="BW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66"/>
      <c r="AU994" s="66"/>
      <c r="AV994" s="66"/>
      <c r="AW994" s="66"/>
      <c r="AX994" s="66"/>
      <c r="AY994" s="66"/>
      <c r="AZ994" s="66"/>
      <c r="BA994" s="66"/>
      <c r="BB994" s="66"/>
      <c r="BC994" s="66"/>
      <c r="BD994" s="66"/>
      <c r="BE994" s="66"/>
      <c r="BF994" s="66"/>
      <c r="BG994" s="66"/>
      <c r="BH994" s="66"/>
      <c r="BI994" s="66"/>
      <c r="BJ994" s="66"/>
      <c r="BK994" s="66"/>
      <c r="BL994" s="66"/>
      <c r="BM994" s="66"/>
      <c r="BN994" s="66"/>
      <c r="BO994" s="66"/>
      <c r="BP994" s="66"/>
      <c r="BQ994" s="66"/>
      <c r="BR994" s="66"/>
      <c r="BS994" s="66"/>
      <c r="BT994" s="66"/>
      <c r="BU994" s="66"/>
      <c r="BV994" s="66"/>
      <c r="BW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66"/>
      <c r="AU995" s="66"/>
      <c r="AV995" s="66"/>
      <c r="AW995" s="66"/>
      <c r="AX995" s="66"/>
      <c r="AY995" s="66"/>
      <c r="AZ995" s="66"/>
      <c r="BA995" s="66"/>
      <c r="BB995" s="66"/>
      <c r="BC995" s="66"/>
      <c r="BD995" s="66"/>
      <c r="BE995" s="66"/>
      <c r="BF995" s="66"/>
      <c r="BG995" s="66"/>
      <c r="BH995" s="66"/>
      <c r="BI995" s="66"/>
      <c r="BJ995" s="66"/>
      <c r="BK995" s="66"/>
      <c r="BL995" s="66"/>
      <c r="BM995" s="66"/>
      <c r="BN995" s="66"/>
      <c r="BO995" s="66"/>
      <c r="BP995" s="66"/>
      <c r="BQ995" s="66"/>
      <c r="BR995" s="66"/>
      <c r="BS995" s="66"/>
      <c r="BT995" s="66"/>
      <c r="BU995" s="66"/>
      <c r="BV995" s="66"/>
      <c r="BW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66"/>
      <c r="AU996" s="66"/>
      <c r="AV996" s="66"/>
      <c r="AW996" s="66"/>
      <c r="AX996" s="66"/>
      <c r="AY996" s="66"/>
      <c r="AZ996" s="66"/>
      <c r="BA996" s="66"/>
      <c r="BB996" s="66"/>
      <c r="BC996" s="66"/>
      <c r="BD996" s="66"/>
      <c r="BE996" s="66"/>
      <c r="BF996" s="66"/>
      <c r="BG996" s="66"/>
      <c r="BH996" s="66"/>
      <c r="BI996" s="66"/>
      <c r="BJ996" s="66"/>
      <c r="BK996" s="66"/>
      <c r="BL996" s="66"/>
      <c r="BM996" s="66"/>
      <c r="BN996" s="66"/>
      <c r="BO996" s="66"/>
      <c r="BP996" s="66"/>
      <c r="BQ996" s="66"/>
      <c r="BR996" s="66"/>
      <c r="BS996" s="66"/>
      <c r="BT996" s="66"/>
      <c r="BU996" s="66"/>
      <c r="BV996" s="66"/>
      <c r="BW996" s="66"/>
    </row>
  </sheetData>
  <mergeCells count="620">
    <mergeCell ref="D1:N1"/>
    <mergeCell ref="B2:G3"/>
    <mergeCell ref="H2:Q3"/>
    <mergeCell ref="R2:AB3"/>
    <mergeCell ref="AC2:AM3"/>
    <mergeCell ref="AN2:AT6"/>
    <mergeCell ref="AU2:BH6"/>
    <mergeCell ref="AH8:AM10"/>
    <mergeCell ref="AN8:AS10"/>
    <mergeCell ref="AT8:AY10"/>
    <mergeCell ref="AZ8:BH10"/>
    <mergeCell ref="B4:G6"/>
    <mergeCell ref="H4:AM6"/>
    <mergeCell ref="B8:E10"/>
    <mergeCell ref="F8:I10"/>
    <mergeCell ref="J8:U8"/>
    <mergeCell ref="V8:AA10"/>
    <mergeCell ref="AB8:AG10"/>
    <mergeCell ref="AB11:AG11"/>
    <mergeCell ref="AH11:AM11"/>
    <mergeCell ref="AN11:AS11"/>
    <mergeCell ref="AT11:AY11"/>
    <mergeCell ref="AZ11:BH11"/>
    <mergeCell ref="J9:O10"/>
    <mergeCell ref="P9:U10"/>
    <mergeCell ref="B11:E11"/>
    <mergeCell ref="F11:I11"/>
    <mergeCell ref="J11:O11"/>
    <mergeCell ref="P11:U11"/>
    <mergeCell ref="V11:AA11"/>
    <mergeCell ref="AN12:AS12"/>
    <mergeCell ref="AT12:AY12"/>
    <mergeCell ref="AZ12:BH12"/>
    <mergeCell ref="B12:E12"/>
    <mergeCell ref="F12:I12"/>
    <mergeCell ref="J12:O12"/>
    <mergeCell ref="P12:U12"/>
    <mergeCell ref="V12:AA12"/>
    <mergeCell ref="AB12:AG12"/>
    <mergeCell ref="AH12:AM12"/>
    <mergeCell ref="AN16:AS16"/>
    <mergeCell ref="AT16:AY16"/>
    <mergeCell ref="AZ16:BH16"/>
    <mergeCell ref="B16:E16"/>
    <mergeCell ref="F16:I16"/>
    <mergeCell ref="J16:O16"/>
    <mergeCell ref="P16:U16"/>
    <mergeCell ref="V16:AA16"/>
    <mergeCell ref="AB16:AG16"/>
    <mergeCell ref="AH16:AM16"/>
    <mergeCell ref="AN17:AS17"/>
    <mergeCell ref="AT17:AY17"/>
    <mergeCell ref="AZ17:BH17"/>
    <mergeCell ref="B17:E17"/>
    <mergeCell ref="F17:I17"/>
    <mergeCell ref="J17:O17"/>
    <mergeCell ref="P17:U17"/>
    <mergeCell ref="V17:AA17"/>
    <mergeCell ref="AB17:AG17"/>
    <mergeCell ref="AH17:AM17"/>
    <mergeCell ref="AN18:AS18"/>
    <mergeCell ref="AT18:AY18"/>
    <mergeCell ref="AZ18:BH18"/>
    <mergeCell ref="B18:E18"/>
    <mergeCell ref="F18:I18"/>
    <mergeCell ref="J18:O18"/>
    <mergeCell ref="P18:U18"/>
    <mergeCell ref="V18:AA18"/>
    <mergeCell ref="AB18:AG18"/>
    <mergeCell ref="AH18:AM18"/>
    <mergeCell ref="AN19:AS19"/>
    <mergeCell ref="AT19:AY19"/>
    <mergeCell ref="AZ19:BH19"/>
    <mergeCell ref="B19:E19"/>
    <mergeCell ref="F19:I19"/>
    <mergeCell ref="J19:O19"/>
    <mergeCell ref="P19:U19"/>
    <mergeCell ref="V19:AA19"/>
    <mergeCell ref="AB19:AG19"/>
    <mergeCell ref="AH19:AM19"/>
    <mergeCell ref="AN20:AS20"/>
    <mergeCell ref="AT20:AY20"/>
    <mergeCell ref="AZ20:BH20"/>
    <mergeCell ref="B20:E20"/>
    <mergeCell ref="F20:I20"/>
    <mergeCell ref="J20:O20"/>
    <mergeCell ref="P20:U20"/>
    <mergeCell ref="V20:AA20"/>
    <mergeCell ref="AB20:AG20"/>
    <mergeCell ref="AH20:AM20"/>
    <mergeCell ref="AN21:AS21"/>
    <mergeCell ref="AT21:AY21"/>
    <mergeCell ref="AZ21:BH21"/>
    <mergeCell ref="B21:E21"/>
    <mergeCell ref="F21:I21"/>
    <mergeCell ref="J21:O21"/>
    <mergeCell ref="P21:U21"/>
    <mergeCell ref="V21:AA21"/>
    <mergeCell ref="AB21:AG21"/>
    <mergeCell ref="AH21:AM21"/>
    <mergeCell ref="AN22:AS22"/>
    <mergeCell ref="AT22:AY22"/>
    <mergeCell ref="AZ22:BH22"/>
    <mergeCell ref="B22:E22"/>
    <mergeCell ref="F22:I22"/>
    <mergeCell ref="J22:O22"/>
    <mergeCell ref="P22:U22"/>
    <mergeCell ref="V22:AA22"/>
    <mergeCell ref="AB22:AG22"/>
    <mergeCell ref="AH22:AM22"/>
    <mergeCell ref="AN23:AS23"/>
    <mergeCell ref="AT23:AY23"/>
    <mergeCell ref="AZ23:BH23"/>
    <mergeCell ref="B23:E23"/>
    <mergeCell ref="F23:I23"/>
    <mergeCell ref="J23:O23"/>
    <mergeCell ref="P23:U23"/>
    <mergeCell ref="V23:AA23"/>
    <mergeCell ref="AB23:AG23"/>
    <mergeCell ref="AH23:AM23"/>
    <mergeCell ref="AN24:AS24"/>
    <mergeCell ref="AT24:AY24"/>
    <mergeCell ref="AZ24:BH24"/>
    <mergeCell ref="B24:E24"/>
    <mergeCell ref="F24:I24"/>
    <mergeCell ref="J24:O24"/>
    <mergeCell ref="P24:U24"/>
    <mergeCell ref="V24:AA24"/>
    <mergeCell ref="AB24:AG24"/>
    <mergeCell ref="AH24:AM24"/>
    <mergeCell ref="AN25:AS25"/>
    <mergeCell ref="AT25:AY25"/>
    <mergeCell ref="AZ25:BH25"/>
    <mergeCell ref="B25:E25"/>
    <mergeCell ref="F25:I25"/>
    <mergeCell ref="J25:O25"/>
    <mergeCell ref="P25:U25"/>
    <mergeCell ref="V25:AA25"/>
    <mergeCell ref="AB25:AG25"/>
    <mergeCell ref="AH25:AM25"/>
    <mergeCell ref="AN26:AS26"/>
    <mergeCell ref="AT26:AY26"/>
    <mergeCell ref="AZ26:BH26"/>
    <mergeCell ref="B26:E26"/>
    <mergeCell ref="F26:I26"/>
    <mergeCell ref="J26:O26"/>
    <mergeCell ref="P26:U26"/>
    <mergeCell ref="V26:AA26"/>
    <mergeCell ref="AB26:AG26"/>
    <mergeCell ref="AH26:AM26"/>
    <mergeCell ref="AN27:AS27"/>
    <mergeCell ref="AT27:AY27"/>
    <mergeCell ref="AZ27:BH27"/>
    <mergeCell ref="B27:E27"/>
    <mergeCell ref="F27:I27"/>
    <mergeCell ref="J27:O27"/>
    <mergeCell ref="P27:U27"/>
    <mergeCell ref="V27:AA27"/>
    <mergeCell ref="AB27:AG27"/>
    <mergeCell ref="AH27:AM27"/>
    <mergeCell ref="AN28:AS28"/>
    <mergeCell ref="AT28:AY28"/>
    <mergeCell ref="AZ28:BH28"/>
    <mergeCell ref="B28:E28"/>
    <mergeCell ref="F28:I28"/>
    <mergeCell ref="J28:O28"/>
    <mergeCell ref="P28:U28"/>
    <mergeCell ref="V28:AA28"/>
    <mergeCell ref="AB28:AG28"/>
    <mergeCell ref="AH28:AM28"/>
    <mergeCell ref="AZ30:BB30"/>
    <mergeCell ref="BC30:BE30"/>
    <mergeCell ref="AB29:AG29"/>
    <mergeCell ref="AH29:AM29"/>
    <mergeCell ref="AN29:AS29"/>
    <mergeCell ref="AT29:AY29"/>
    <mergeCell ref="AZ29:BH29"/>
    <mergeCell ref="AW30:AY30"/>
    <mergeCell ref="BF30:BH30"/>
    <mergeCell ref="B29:AA29"/>
    <mergeCell ref="D32:N32"/>
    <mergeCell ref="H33:Q34"/>
    <mergeCell ref="R33:AB34"/>
    <mergeCell ref="AC33:AM34"/>
    <mergeCell ref="AN33:AT37"/>
    <mergeCell ref="AU33:BH37"/>
    <mergeCell ref="H35:AM37"/>
    <mergeCell ref="AT39:AY41"/>
    <mergeCell ref="AZ39:BH41"/>
    <mergeCell ref="J40:O41"/>
    <mergeCell ref="P40:U41"/>
    <mergeCell ref="B33:G34"/>
    <mergeCell ref="B35:G37"/>
    <mergeCell ref="B39:E41"/>
    <mergeCell ref="F39:I41"/>
    <mergeCell ref="J39:U39"/>
    <mergeCell ref="V39:AA41"/>
    <mergeCell ref="AB39:AG41"/>
    <mergeCell ref="AB42:AG42"/>
    <mergeCell ref="AH42:AM42"/>
    <mergeCell ref="AT42:AY42"/>
    <mergeCell ref="AZ42:BH42"/>
    <mergeCell ref="AH39:AM41"/>
    <mergeCell ref="AN39:AS41"/>
    <mergeCell ref="F42:I42"/>
    <mergeCell ref="J42:O42"/>
    <mergeCell ref="P42:U42"/>
    <mergeCell ref="V42:AA42"/>
    <mergeCell ref="AN42:AS42"/>
    <mergeCell ref="AN13:AS13"/>
    <mergeCell ref="AT13:AY13"/>
    <mergeCell ref="AZ13:BH13"/>
    <mergeCell ref="B13:E13"/>
    <mergeCell ref="F13:I13"/>
    <mergeCell ref="J13:O13"/>
    <mergeCell ref="P13:U13"/>
    <mergeCell ref="V13:AA13"/>
    <mergeCell ref="AB13:AG13"/>
    <mergeCell ref="AH13:AM13"/>
    <mergeCell ref="AN14:AS14"/>
    <mergeCell ref="AT14:AY14"/>
    <mergeCell ref="AZ14:BH14"/>
    <mergeCell ref="B14:E14"/>
    <mergeCell ref="F14:I14"/>
    <mergeCell ref="J14:O14"/>
    <mergeCell ref="P14:U14"/>
    <mergeCell ref="V14:AA14"/>
    <mergeCell ref="AB14:AG14"/>
    <mergeCell ref="AH14:AM14"/>
    <mergeCell ref="AN15:AS15"/>
    <mergeCell ref="AT15:AY15"/>
    <mergeCell ref="AZ15:BH15"/>
    <mergeCell ref="B15:E15"/>
    <mergeCell ref="F15:I15"/>
    <mergeCell ref="J15:O15"/>
    <mergeCell ref="P15:U15"/>
    <mergeCell ref="V15:AA15"/>
    <mergeCell ref="AB15:AG15"/>
    <mergeCell ref="AH15:AM15"/>
    <mergeCell ref="AH43:AM43"/>
    <mergeCell ref="AN43:AS43"/>
    <mergeCell ref="AT43:AY43"/>
    <mergeCell ref="AZ43:BH43"/>
    <mergeCell ref="B42:E42"/>
    <mergeCell ref="B43:E43"/>
    <mergeCell ref="F43:I43"/>
    <mergeCell ref="J43:O43"/>
    <mergeCell ref="P43:U43"/>
    <mergeCell ref="V43:AA43"/>
    <mergeCell ref="AB43:AG43"/>
    <mergeCell ref="AN44:AS44"/>
    <mergeCell ref="AT44:AY44"/>
    <mergeCell ref="AZ44:BH44"/>
    <mergeCell ref="B44:E44"/>
    <mergeCell ref="F44:I44"/>
    <mergeCell ref="J44:O44"/>
    <mergeCell ref="P44:U44"/>
    <mergeCell ref="V44:AA44"/>
    <mergeCell ref="AB44:AG44"/>
    <mergeCell ref="AH44:AM44"/>
    <mergeCell ref="AN45:AS45"/>
    <mergeCell ref="AT45:AY45"/>
    <mergeCell ref="AZ45:BH45"/>
    <mergeCell ref="B45:E45"/>
    <mergeCell ref="F45:I45"/>
    <mergeCell ref="J45:O45"/>
    <mergeCell ref="P45:U45"/>
    <mergeCell ref="V45:AA45"/>
    <mergeCell ref="AB45:AG45"/>
    <mergeCell ref="AH45:AM45"/>
    <mergeCell ref="AN46:AS46"/>
    <mergeCell ref="AT46:AY46"/>
    <mergeCell ref="AZ46:BH46"/>
    <mergeCell ref="B46:E46"/>
    <mergeCell ref="F46:I46"/>
    <mergeCell ref="J46:O46"/>
    <mergeCell ref="P46:U46"/>
    <mergeCell ref="V46:AA46"/>
    <mergeCell ref="AB46:AG46"/>
    <mergeCell ref="AH46:AM46"/>
    <mergeCell ref="AN50:AS50"/>
    <mergeCell ref="AT50:AY50"/>
    <mergeCell ref="AZ50:BH50"/>
    <mergeCell ref="B50:E50"/>
    <mergeCell ref="F50:I50"/>
    <mergeCell ref="J50:O50"/>
    <mergeCell ref="P50:U50"/>
    <mergeCell ref="V50:AA50"/>
    <mergeCell ref="AB50:AG50"/>
    <mergeCell ref="AH50:AM50"/>
    <mergeCell ref="AN51:AS51"/>
    <mergeCell ref="AT51:AY51"/>
    <mergeCell ref="AZ51:BH51"/>
    <mergeCell ref="B51:E51"/>
    <mergeCell ref="F51:I51"/>
    <mergeCell ref="J51:O51"/>
    <mergeCell ref="P51:U51"/>
    <mergeCell ref="V51:AA51"/>
    <mergeCell ref="AB51:AG51"/>
    <mergeCell ref="AH51:AM51"/>
    <mergeCell ref="AN52:AS52"/>
    <mergeCell ref="AT52:AY52"/>
    <mergeCell ref="AZ52:BH52"/>
    <mergeCell ref="B52:E52"/>
    <mergeCell ref="F52:I52"/>
    <mergeCell ref="J52:O52"/>
    <mergeCell ref="P52:U52"/>
    <mergeCell ref="V52:AA52"/>
    <mergeCell ref="AB52:AG52"/>
    <mergeCell ref="AH52:AM52"/>
    <mergeCell ref="AN53:AS53"/>
    <mergeCell ref="AT53:AY53"/>
    <mergeCell ref="AZ53:BH53"/>
    <mergeCell ref="B53:E53"/>
    <mergeCell ref="F53:I53"/>
    <mergeCell ref="J53:O53"/>
    <mergeCell ref="P53:U53"/>
    <mergeCell ref="V53:AA53"/>
    <mergeCell ref="AB53:AG53"/>
    <mergeCell ref="AH53:AM53"/>
    <mergeCell ref="AN54:AS54"/>
    <mergeCell ref="AT54:AY54"/>
    <mergeCell ref="AZ54:BH54"/>
    <mergeCell ref="B54:E54"/>
    <mergeCell ref="F54:I54"/>
    <mergeCell ref="J54:O54"/>
    <mergeCell ref="P54:U54"/>
    <mergeCell ref="V54:AA54"/>
    <mergeCell ref="AB54:AG54"/>
    <mergeCell ref="AH54:AM54"/>
    <mergeCell ref="AN55:AS55"/>
    <mergeCell ref="AT55:AY55"/>
    <mergeCell ref="AZ55:BH55"/>
    <mergeCell ref="B55:E55"/>
    <mergeCell ref="F55:I55"/>
    <mergeCell ref="J55:O55"/>
    <mergeCell ref="P55:U55"/>
    <mergeCell ref="V55:AA55"/>
    <mergeCell ref="AB55:AG55"/>
    <mergeCell ref="AH55:AM55"/>
    <mergeCell ref="AN56:AS56"/>
    <mergeCell ref="AT56:AY56"/>
    <mergeCell ref="AZ56:BH56"/>
    <mergeCell ref="B56:E56"/>
    <mergeCell ref="F56:I56"/>
    <mergeCell ref="J56:O56"/>
    <mergeCell ref="P56:U56"/>
    <mergeCell ref="V56:AA56"/>
    <mergeCell ref="AB56:AG56"/>
    <mergeCell ref="AH56:AM56"/>
    <mergeCell ref="AN57:AS57"/>
    <mergeCell ref="AT57:AY57"/>
    <mergeCell ref="AZ57:BH57"/>
    <mergeCell ref="B57:E57"/>
    <mergeCell ref="F57:I57"/>
    <mergeCell ref="J57:O57"/>
    <mergeCell ref="P57:U57"/>
    <mergeCell ref="V57:AA57"/>
    <mergeCell ref="AB57:AG57"/>
    <mergeCell ref="AH57:AM57"/>
    <mergeCell ref="AN58:AS58"/>
    <mergeCell ref="AT58:AY58"/>
    <mergeCell ref="AZ58:BH58"/>
    <mergeCell ref="B58:E58"/>
    <mergeCell ref="F58:I58"/>
    <mergeCell ref="J58:O58"/>
    <mergeCell ref="P58:U58"/>
    <mergeCell ref="V58:AA58"/>
    <mergeCell ref="AB58:AG58"/>
    <mergeCell ref="AH58:AM58"/>
    <mergeCell ref="AZ61:BB61"/>
    <mergeCell ref="BC61:BE61"/>
    <mergeCell ref="AB59:AG59"/>
    <mergeCell ref="AH59:AM59"/>
    <mergeCell ref="AN59:AS59"/>
    <mergeCell ref="AT59:AY59"/>
    <mergeCell ref="AZ59:BH59"/>
    <mergeCell ref="AW61:AY61"/>
    <mergeCell ref="BF61:BH61"/>
    <mergeCell ref="B59:AA59"/>
    <mergeCell ref="D62:N62"/>
    <mergeCell ref="H63:Q64"/>
    <mergeCell ref="R63:AB64"/>
    <mergeCell ref="AC63:AM64"/>
    <mergeCell ref="AN63:AT67"/>
    <mergeCell ref="AU63:BH67"/>
    <mergeCell ref="H65:AM67"/>
    <mergeCell ref="AT69:AY71"/>
    <mergeCell ref="AZ69:BH71"/>
    <mergeCell ref="J70:O71"/>
    <mergeCell ref="P70:U71"/>
    <mergeCell ref="B63:G64"/>
    <mergeCell ref="B65:G67"/>
    <mergeCell ref="B69:E71"/>
    <mergeCell ref="F69:I71"/>
    <mergeCell ref="J69:U69"/>
    <mergeCell ref="V69:AA71"/>
    <mergeCell ref="AB69:AG71"/>
    <mergeCell ref="AB72:AG72"/>
    <mergeCell ref="AH72:AM72"/>
    <mergeCell ref="AT72:AY72"/>
    <mergeCell ref="AZ72:BH72"/>
    <mergeCell ref="AH69:AM71"/>
    <mergeCell ref="AN69:AS71"/>
    <mergeCell ref="F72:I72"/>
    <mergeCell ref="J72:O72"/>
    <mergeCell ref="P72:U72"/>
    <mergeCell ref="V72:AA72"/>
    <mergeCell ref="AN72:AS72"/>
    <mergeCell ref="AN47:AS47"/>
    <mergeCell ref="AT47:AY47"/>
    <mergeCell ref="AZ47:BH47"/>
    <mergeCell ref="B47:E47"/>
    <mergeCell ref="F47:I47"/>
    <mergeCell ref="J47:O47"/>
    <mergeCell ref="P47:U47"/>
    <mergeCell ref="V47:AA47"/>
    <mergeCell ref="AB47:AG47"/>
    <mergeCell ref="AH47:AM47"/>
    <mergeCell ref="AN48:AS48"/>
    <mergeCell ref="AT48:AY48"/>
    <mergeCell ref="AZ48:BH48"/>
    <mergeCell ref="B48:E48"/>
    <mergeCell ref="F48:I48"/>
    <mergeCell ref="J48:O48"/>
    <mergeCell ref="P48:U48"/>
    <mergeCell ref="V48:AA48"/>
    <mergeCell ref="AB48:AG48"/>
    <mergeCell ref="AH48:AM48"/>
    <mergeCell ref="AN49:AS49"/>
    <mergeCell ref="AT49:AY49"/>
    <mergeCell ref="AZ49:BH49"/>
    <mergeCell ref="B49:E49"/>
    <mergeCell ref="F49:I49"/>
    <mergeCell ref="J49:O49"/>
    <mergeCell ref="P49:U49"/>
    <mergeCell ref="V49:AA49"/>
    <mergeCell ref="AB49:AG49"/>
    <mergeCell ref="AH49:AM49"/>
    <mergeCell ref="AH73:AM73"/>
    <mergeCell ref="AN73:AS73"/>
    <mergeCell ref="AT73:AY73"/>
    <mergeCell ref="AZ73:BH73"/>
    <mergeCell ref="B72:E72"/>
    <mergeCell ref="B73:E73"/>
    <mergeCell ref="F73:I73"/>
    <mergeCell ref="J73:O73"/>
    <mergeCell ref="P73:U73"/>
    <mergeCell ref="V73:AA73"/>
    <mergeCell ref="AB73:AG73"/>
    <mergeCell ref="AN74:AS74"/>
    <mergeCell ref="AT74:AY74"/>
    <mergeCell ref="AZ74:BH74"/>
    <mergeCell ref="B74:E74"/>
    <mergeCell ref="F74:I74"/>
    <mergeCell ref="J74:O74"/>
    <mergeCell ref="P74:U74"/>
    <mergeCell ref="V74:AA74"/>
    <mergeCell ref="AB74:AG74"/>
    <mergeCell ref="AH74:AM74"/>
    <mergeCell ref="AN75:AS75"/>
    <mergeCell ref="AT75:AY75"/>
    <mergeCell ref="AZ75:BH75"/>
    <mergeCell ref="B75:E75"/>
    <mergeCell ref="F75:I75"/>
    <mergeCell ref="J75:O75"/>
    <mergeCell ref="P75:U75"/>
    <mergeCell ref="V75:AA75"/>
    <mergeCell ref="AB75:AG75"/>
    <mergeCell ref="AH75:AM75"/>
    <mergeCell ref="AN76:AS76"/>
    <mergeCell ref="AT76:AY76"/>
    <mergeCell ref="AZ76:BH76"/>
    <mergeCell ref="B76:E76"/>
    <mergeCell ref="F76:I76"/>
    <mergeCell ref="J76:O76"/>
    <mergeCell ref="P76:U76"/>
    <mergeCell ref="V76:AA76"/>
    <mergeCell ref="AB76:AG76"/>
    <mergeCell ref="AH76:AM76"/>
    <mergeCell ref="AN80:AS80"/>
    <mergeCell ref="AT80:AY80"/>
    <mergeCell ref="AZ80:BH80"/>
    <mergeCell ref="B80:E80"/>
    <mergeCell ref="F80:I80"/>
    <mergeCell ref="J80:O80"/>
    <mergeCell ref="P80:U80"/>
    <mergeCell ref="V80:AA80"/>
    <mergeCell ref="AB80:AG80"/>
    <mergeCell ref="AH80:AM80"/>
    <mergeCell ref="AN81:AS81"/>
    <mergeCell ref="AT81:AY81"/>
    <mergeCell ref="AZ81:BH81"/>
    <mergeCell ref="B81:E81"/>
    <mergeCell ref="F81:I81"/>
    <mergeCell ref="J81:O81"/>
    <mergeCell ref="P81:U81"/>
    <mergeCell ref="V81:AA81"/>
    <mergeCell ref="AB81:AG81"/>
    <mergeCell ref="AH81:AM81"/>
    <mergeCell ref="AN89:AS89"/>
    <mergeCell ref="AT89:AY89"/>
    <mergeCell ref="AZ89:BH89"/>
    <mergeCell ref="B89:E89"/>
    <mergeCell ref="F89:I89"/>
    <mergeCell ref="J89:O89"/>
    <mergeCell ref="P89:U89"/>
    <mergeCell ref="V89:AA89"/>
    <mergeCell ref="AB89:AG89"/>
    <mergeCell ref="AH89:AM89"/>
    <mergeCell ref="AN77:AS77"/>
    <mergeCell ref="AT77:AY77"/>
    <mergeCell ref="AZ77:BH77"/>
    <mergeCell ref="B77:E77"/>
    <mergeCell ref="F77:I77"/>
    <mergeCell ref="J77:O77"/>
    <mergeCell ref="P77:U77"/>
    <mergeCell ref="V77:AA77"/>
    <mergeCell ref="AB77:AG77"/>
    <mergeCell ref="AH77:AM77"/>
    <mergeCell ref="AN78:AS78"/>
    <mergeCell ref="AT78:AY78"/>
    <mergeCell ref="AZ78:BH78"/>
    <mergeCell ref="B78:E78"/>
    <mergeCell ref="F78:I78"/>
    <mergeCell ref="J78:O78"/>
    <mergeCell ref="P78:U78"/>
    <mergeCell ref="V78:AA78"/>
    <mergeCell ref="AB78:AG78"/>
    <mergeCell ref="AH78:AM78"/>
    <mergeCell ref="AN79:AS79"/>
    <mergeCell ref="AT79:AY79"/>
    <mergeCell ref="AZ79:BH79"/>
    <mergeCell ref="B79:E79"/>
    <mergeCell ref="F79:I79"/>
    <mergeCell ref="J79:O79"/>
    <mergeCell ref="P79:U79"/>
    <mergeCell ref="V79:AA79"/>
    <mergeCell ref="AB79:AG79"/>
    <mergeCell ref="AH79:AM79"/>
    <mergeCell ref="AZ92:BB92"/>
    <mergeCell ref="BC92:BE92"/>
    <mergeCell ref="B90:AA90"/>
    <mergeCell ref="AB90:AG90"/>
    <mergeCell ref="AH90:AM90"/>
    <mergeCell ref="AN90:AS90"/>
    <mergeCell ref="AT90:AY90"/>
    <mergeCell ref="AZ90:BH90"/>
    <mergeCell ref="AW92:AY92"/>
    <mergeCell ref="BF92:BH92"/>
    <mergeCell ref="AN82:AS82"/>
    <mergeCell ref="AT82:AY82"/>
    <mergeCell ref="AZ82:BH82"/>
    <mergeCell ref="B82:E82"/>
    <mergeCell ref="F82:I82"/>
    <mergeCell ref="J82:O82"/>
    <mergeCell ref="P82:U82"/>
    <mergeCell ref="V82:AA82"/>
    <mergeCell ref="AB82:AG82"/>
    <mergeCell ref="AH82:AM82"/>
    <mergeCell ref="AN83:AS83"/>
    <mergeCell ref="AT83:AY83"/>
    <mergeCell ref="AZ83:BH83"/>
    <mergeCell ref="B83:E83"/>
    <mergeCell ref="F83:I83"/>
    <mergeCell ref="J83:O83"/>
    <mergeCell ref="P83:U83"/>
    <mergeCell ref="V83:AA83"/>
    <mergeCell ref="AB83:AG83"/>
    <mergeCell ref="AH83:AM83"/>
    <mergeCell ref="AN84:AS84"/>
    <mergeCell ref="AT84:AY84"/>
    <mergeCell ref="AZ84:BH84"/>
    <mergeCell ref="B84:E84"/>
    <mergeCell ref="F84:I84"/>
    <mergeCell ref="J84:O84"/>
    <mergeCell ref="P84:U84"/>
    <mergeCell ref="V84:AA84"/>
    <mergeCell ref="AB84:AG84"/>
    <mergeCell ref="AH84:AM84"/>
    <mergeCell ref="AN85:AS85"/>
    <mergeCell ref="AT85:AY85"/>
    <mergeCell ref="AZ85:BH85"/>
    <mergeCell ref="B85:E85"/>
    <mergeCell ref="F85:I85"/>
    <mergeCell ref="J85:O85"/>
    <mergeCell ref="P85:U85"/>
    <mergeCell ref="V85:AA85"/>
    <mergeCell ref="AB85:AG85"/>
    <mergeCell ref="AH85:AM85"/>
    <mergeCell ref="AN86:AS86"/>
    <mergeCell ref="AT86:AY86"/>
    <mergeCell ref="AZ86:BH86"/>
    <mergeCell ref="B86:E86"/>
    <mergeCell ref="F86:I86"/>
    <mergeCell ref="J86:O86"/>
    <mergeCell ref="P86:U86"/>
    <mergeCell ref="V86:AA86"/>
    <mergeCell ref="AB86:AG86"/>
    <mergeCell ref="AH86:AM86"/>
    <mergeCell ref="AN87:AS87"/>
    <mergeCell ref="AT87:AY87"/>
    <mergeCell ref="AZ87:BH87"/>
    <mergeCell ref="B87:E87"/>
    <mergeCell ref="F87:I87"/>
    <mergeCell ref="J87:O87"/>
    <mergeCell ref="P87:U87"/>
    <mergeCell ref="V87:AA87"/>
    <mergeCell ref="AB87:AG87"/>
    <mergeCell ref="AH87:AM87"/>
    <mergeCell ref="AN88:AS88"/>
    <mergeCell ref="AT88:AY88"/>
    <mergeCell ref="AZ88:BH88"/>
    <mergeCell ref="B88:E88"/>
    <mergeCell ref="F88:I88"/>
    <mergeCell ref="J88:O88"/>
    <mergeCell ref="P88:U88"/>
    <mergeCell ref="V88:AA88"/>
    <mergeCell ref="AB88:AG88"/>
    <mergeCell ref="AH88:AM88"/>
  </mergeCells>
  <printOptions horizontalCentered="1" verticalCentered="1"/>
  <pageMargins bottom="0.2" footer="0.0" header="0.0" left="0.39000000000000007" right="0.39000000000000007" top="0.2"/>
  <pageSetup paperSize="9" orientation="portrait"/>
  <headerFooter>
    <oddHeader>&amp;L【浦安市】</oddHeader>
  </headerFooter>
  <drawing r:id="rId1"/>
</worksheet>
</file>